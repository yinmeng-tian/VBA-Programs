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ytian3\Desktop\VBA\"/>
    </mc:Choice>
  </mc:AlternateContent>
  <bookViews>
    <workbookView xWindow="0" yWindow="0" windowWidth="25600" windowHeight="10650"/>
  </bookViews>
  <sheets>
    <sheet name="Trades" sheetId="3" r:id="rId1"/>
    <sheet name="P&amp;L" sheetId="2" r:id="rId2"/>
    <sheet name="Sheet1" sheetId="1" r:id="rId3"/>
  </sheets>
  <definedNames>
    <definedName name="ExternalData_1" localSheetId="0">Trades!$A$3:$F$254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5" i="3" l="1"/>
  <c r="Q26" i="3" s="1"/>
  <c r="Q27" i="3" s="1"/>
  <c r="Q24" i="3"/>
  <c r="P26" i="3"/>
  <c r="P24" i="3"/>
  <c r="O25" i="3"/>
  <c r="O26" i="3" s="1"/>
  <c r="O24" i="3"/>
  <c r="N25" i="3"/>
  <c r="N26" i="3" s="1"/>
  <c r="N24" i="3"/>
  <c r="M24" i="3"/>
  <c r="L25" i="3"/>
  <c r="L26" i="3" s="1"/>
  <c r="M26" i="3" s="1"/>
  <c r="L24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0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18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4" i="3"/>
  <c r="P25" i="3" l="1"/>
  <c r="O27" i="3"/>
  <c r="N27" i="3"/>
  <c r="M25" i="3"/>
  <c r="L27" i="3"/>
  <c r="Q28" i="3" l="1"/>
  <c r="P27" i="3"/>
  <c r="O28" i="3"/>
  <c r="P28" i="3" s="1"/>
  <c r="M27" i="3"/>
  <c r="N28" i="3"/>
  <c r="L28" i="3"/>
  <c r="M28" i="3" s="1"/>
  <c r="Q29" i="3" l="1"/>
  <c r="O29" i="3"/>
  <c r="N29" i="3"/>
  <c r="L29" i="3"/>
  <c r="M29" i="3" s="1"/>
  <c r="Q30" i="3" l="1"/>
  <c r="P29" i="3"/>
  <c r="O30" i="3"/>
  <c r="P30" i="3" s="1"/>
  <c r="N30" i="3"/>
  <c r="L30" i="3"/>
  <c r="M30" i="3" s="1"/>
  <c r="Q31" i="3" l="1"/>
  <c r="O31" i="3"/>
  <c r="O32" i="3" s="1"/>
  <c r="P32" i="3" s="1"/>
  <c r="N31" i="3"/>
  <c r="L31" i="3"/>
  <c r="Q32" i="3" l="1"/>
  <c r="Q33" i="3"/>
  <c r="P31" i="3"/>
  <c r="O33" i="3"/>
  <c r="M31" i="3"/>
  <c r="N32" i="3"/>
  <c r="L32" i="3"/>
  <c r="P33" i="3" l="1"/>
  <c r="Q34" i="3"/>
  <c r="O34" i="3"/>
  <c r="M32" i="3"/>
  <c r="N33" i="3"/>
  <c r="L33" i="3"/>
  <c r="P34" i="3" l="1"/>
  <c r="Q35" i="3"/>
  <c r="O35" i="3"/>
  <c r="M33" i="3"/>
  <c r="N34" i="3"/>
  <c r="L34" i="3"/>
  <c r="N35" i="3" s="1"/>
  <c r="P35" i="3" l="1"/>
  <c r="Q36" i="3"/>
  <c r="O36" i="3"/>
  <c r="M34" i="3"/>
  <c r="L35" i="3"/>
  <c r="N36" i="3" s="1"/>
  <c r="P36" i="3" l="1"/>
  <c r="Q37" i="3"/>
  <c r="O37" i="3"/>
  <c r="Q38" i="3" s="1"/>
  <c r="L36" i="3"/>
  <c r="N37" i="3" s="1"/>
  <c r="M35" i="3"/>
  <c r="O38" i="3" l="1"/>
  <c r="Q39" i="3" s="1"/>
  <c r="P37" i="3"/>
  <c r="L37" i="3"/>
  <c r="N38" i="3" s="1"/>
  <c r="M36" i="3"/>
  <c r="O39" i="3" l="1"/>
  <c r="Q40" i="3" s="1"/>
  <c r="P38" i="3"/>
  <c r="L38" i="3"/>
  <c r="M37" i="3"/>
  <c r="O40" i="3" l="1"/>
  <c r="Q41" i="3" s="1"/>
  <c r="P39" i="3"/>
  <c r="M38" i="3"/>
  <c r="N39" i="3"/>
  <c r="L39" i="3"/>
  <c r="N40" i="3" s="1"/>
  <c r="O41" i="3" l="1"/>
  <c r="Q42" i="3" s="1"/>
  <c r="P40" i="3"/>
  <c r="L40" i="3"/>
  <c r="N41" i="3" s="1"/>
  <c r="M39" i="3"/>
  <c r="O42" i="3" l="1"/>
  <c r="Q43" i="3" s="1"/>
  <c r="P41" i="3"/>
  <c r="L41" i="3"/>
  <c r="N42" i="3" s="1"/>
  <c r="M40" i="3"/>
  <c r="O43" i="3" l="1"/>
  <c r="Q44" i="3" s="1"/>
  <c r="P42" i="3"/>
  <c r="L42" i="3"/>
  <c r="N43" i="3" s="1"/>
  <c r="M41" i="3"/>
  <c r="O44" i="3" l="1"/>
  <c r="Q45" i="3" s="1"/>
  <c r="P43" i="3"/>
  <c r="L43" i="3"/>
  <c r="N44" i="3" s="1"/>
  <c r="M42" i="3"/>
  <c r="O45" i="3" l="1"/>
  <c r="Q46" i="3" s="1"/>
  <c r="P44" i="3"/>
  <c r="L44" i="3"/>
  <c r="N45" i="3" s="1"/>
  <c r="M43" i="3"/>
  <c r="O46" i="3" l="1"/>
  <c r="Q47" i="3" s="1"/>
  <c r="P45" i="3"/>
  <c r="L45" i="3"/>
  <c r="N46" i="3" s="1"/>
  <c r="M44" i="3"/>
  <c r="O47" i="3" l="1"/>
  <c r="Q48" i="3" s="1"/>
  <c r="P46" i="3"/>
  <c r="L46" i="3"/>
  <c r="N47" i="3" s="1"/>
  <c r="M45" i="3"/>
  <c r="O48" i="3" l="1"/>
  <c r="Q49" i="3" s="1"/>
  <c r="P47" i="3"/>
  <c r="L47" i="3"/>
  <c r="N48" i="3" s="1"/>
  <c r="M46" i="3"/>
  <c r="O49" i="3" l="1"/>
  <c r="Q50" i="3" s="1"/>
  <c r="P48" i="3"/>
  <c r="L48" i="3"/>
  <c r="N49" i="3" s="1"/>
  <c r="M47" i="3"/>
  <c r="O50" i="3" l="1"/>
  <c r="Q51" i="3" s="1"/>
  <c r="P49" i="3"/>
  <c r="L49" i="3"/>
  <c r="N50" i="3" s="1"/>
  <c r="M48" i="3"/>
  <c r="O51" i="3" l="1"/>
  <c r="Q52" i="3" s="1"/>
  <c r="P50" i="3"/>
  <c r="L50" i="3"/>
  <c r="N51" i="3" s="1"/>
  <c r="M49" i="3"/>
  <c r="O52" i="3" l="1"/>
  <c r="Q53" i="3" s="1"/>
  <c r="P51" i="3"/>
  <c r="L51" i="3"/>
  <c r="N52" i="3" s="1"/>
  <c r="M50" i="3"/>
  <c r="O53" i="3" l="1"/>
  <c r="Q54" i="3" s="1"/>
  <c r="P52" i="3"/>
  <c r="L52" i="3"/>
  <c r="N53" i="3" s="1"/>
  <c r="M51" i="3"/>
  <c r="O54" i="3" l="1"/>
  <c r="Q55" i="3" s="1"/>
  <c r="P53" i="3"/>
  <c r="L53" i="3"/>
  <c r="N54" i="3" s="1"/>
  <c r="M52" i="3"/>
  <c r="O55" i="3" l="1"/>
  <c r="Q56" i="3" s="1"/>
  <c r="P54" i="3"/>
  <c r="L54" i="3"/>
  <c r="N55" i="3" s="1"/>
  <c r="M53" i="3"/>
  <c r="O56" i="3" l="1"/>
  <c r="Q57" i="3" s="1"/>
  <c r="P55" i="3"/>
  <c r="L55" i="3"/>
  <c r="N56" i="3" s="1"/>
  <c r="M54" i="3"/>
  <c r="O57" i="3" l="1"/>
  <c r="Q58" i="3" s="1"/>
  <c r="P56" i="3"/>
  <c r="L56" i="3"/>
  <c r="N57" i="3" s="1"/>
  <c r="M55" i="3"/>
  <c r="O58" i="3" l="1"/>
  <c r="Q59" i="3" s="1"/>
  <c r="P57" i="3"/>
  <c r="L57" i="3"/>
  <c r="N58" i="3" s="1"/>
  <c r="M56" i="3"/>
  <c r="O59" i="3" l="1"/>
  <c r="Q60" i="3" s="1"/>
  <c r="P58" i="3"/>
  <c r="L58" i="3"/>
  <c r="N59" i="3" s="1"/>
  <c r="M57" i="3"/>
  <c r="O60" i="3" l="1"/>
  <c r="Q61" i="3" s="1"/>
  <c r="P59" i="3"/>
  <c r="L59" i="3"/>
  <c r="N60" i="3" s="1"/>
  <c r="M58" i="3"/>
  <c r="O61" i="3" l="1"/>
  <c r="Q62" i="3" s="1"/>
  <c r="P60" i="3"/>
  <c r="L60" i="3"/>
  <c r="N61" i="3" s="1"/>
  <c r="M59" i="3"/>
  <c r="O62" i="3" l="1"/>
  <c r="Q63" i="3" s="1"/>
  <c r="P61" i="3"/>
  <c r="L61" i="3"/>
  <c r="N62" i="3" s="1"/>
  <c r="M60" i="3"/>
  <c r="O63" i="3" l="1"/>
  <c r="Q64" i="3" s="1"/>
  <c r="P62" i="3"/>
  <c r="L62" i="3"/>
  <c r="N63" i="3" s="1"/>
  <c r="M61" i="3"/>
  <c r="O64" i="3" l="1"/>
  <c r="Q65" i="3" s="1"/>
  <c r="P63" i="3"/>
  <c r="L63" i="3"/>
  <c r="N64" i="3" s="1"/>
  <c r="M62" i="3"/>
  <c r="O65" i="3" l="1"/>
  <c r="Q66" i="3" s="1"/>
  <c r="P64" i="3"/>
  <c r="L64" i="3"/>
  <c r="N65" i="3" s="1"/>
  <c r="M63" i="3"/>
  <c r="O66" i="3" l="1"/>
  <c r="Q67" i="3" s="1"/>
  <c r="P65" i="3"/>
  <c r="L65" i="3"/>
  <c r="N66" i="3" s="1"/>
  <c r="M64" i="3"/>
  <c r="O67" i="3" l="1"/>
  <c r="Q68" i="3" s="1"/>
  <c r="P66" i="3"/>
  <c r="L66" i="3"/>
  <c r="N67" i="3" s="1"/>
  <c r="M65" i="3"/>
  <c r="O68" i="3" l="1"/>
  <c r="Q69" i="3" s="1"/>
  <c r="P67" i="3"/>
  <c r="L67" i="3"/>
  <c r="N68" i="3" s="1"/>
  <c r="M66" i="3"/>
  <c r="O69" i="3" l="1"/>
  <c r="Q70" i="3" s="1"/>
  <c r="P68" i="3"/>
  <c r="L68" i="3"/>
  <c r="N69" i="3" s="1"/>
  <c r="M67" i="3"/>
  <c r="O70" i="3" l="1"/>
  <c r="Q71" i="3" s="1"/>
  <c r="P69" i="3"/>
  <c r="L69" i="3"/>
  <c r="N70" i="3" s="1"/>
  <c r="M68" i="3"/>
  <c r="O71" i="3" l="1"/>
  <c r="Q72" i="3" s="1"/>
  <c r="P70" i="3"/>
  <c r="L70" i="3"/>
  <c r="N71" i="3" s="1"/>
  <c r="M69" i="3"/>
  <c r="O72" i="3" l="1"/>
  <c r="Q73" i="3" s="1"/>
  <c r="P71" i="3"/>
  <c r="L71" i="3"/>
  <c r="N72" i="3" s="1"/>
  <c r="M70" i="3"/>
  <c r="O73" i="3" l="1"/>
  <c r="Q74" i="3" s="1"/>
  <c r="P72" i="3"/>
  <c r="L72" i="3"/>
  <c r="N73" i="3" s="1"/>
  <c r="M71" i="3"/>
  <c r="O74" i="3" l="1"/>
  <c r="Q75" i="3" s="1"/>
  <c r="P73" i="3"/>
  <c r="L73" i="3"/>
  <c r="N74" i="3" s="1"/>
  <c r="M72" i="3"/>
  <c r="O75" i="3" l="1"/>
  <c r="Q76" i="3" s="1"/>
  <c r="P74" i="3"/>
  <c r="L74" i="3"/>
  <c r="N75" i="3" s="1"/>
  <c r="M73" i="3"/>
  <c r="O76" i="3" l="1"/>
  <c r="Q77" i="3" s="1"/>
  <c r="P75" i="3"/>
  <c r="L75" i="3"/>
  <c r="N76" i="3" s="1"/>
  <c r="M74" i="3"/>
  <c r="O77" i="3" l="1"/>
  <c r="Q78" i="3" s="1"/>
  <c r="P76" i="3"/>
  <c r="L76" i="3"/>
  <c r="N77" i="3" s="1"/>
  <c r="M75" i="3"/>
  <c r="O78" i="3" l="1"/>
  <c r="Q79" i="3" s="1"/>
  <c r="P77" i="3"/>
  <c r="L77" i="3"/>
  <c r="N78" i="3" s="1"/>
  <c r="M76" i="3"/>
  <c r="O79" i="3" l="1"/>
  <c r="Q80" i="3" s="1"/>
  <c r="P78" i="3"/>
  <c r="L78" i="3"/>
  <c r="N79" i="3" s="1"/>
  <c r="M77" i="3"/>
  <c r="O80" i="3" l="1"/>
  <c r="Q81" i="3" s="1"/>
  <c r="P79" i="3"/>
  <c r="L79" i="3"/>
  <c r="N80" i="3" s="1"/>
  <c r="M78" i="3"/>
  <c r="O81" i="3" l="1"/>
  <c r="Q82" i="3" s="1"/>
  <c r="P80" i="3"/>
  <c r="L80" i="3"/>
  <c r="N81" i="3" s="1"/>
  <c r="M79" i="3"/>
  <c r="O82" i="3" l="1"/>
  <c r="Q83" i="3" s="1"/>
  <c r="P81" i="3"/>
  <c r="L81" i="3"/>
  <c r="N82" i="3" s="1"/>
  <c r="M80" i="3"/>
  <c r="O83" i="3" l="1"/>
  <c r="Q84" i="3" s="1"/>
  <c r="P82" i="3"/>
  <c r="L82" i="3"/>
  <c r="N83" i="3" s="1"/>
  <c r="M81" i="3"/>
  <c r="O84" i="3" l="1"/>
  <c r="Q85" i="3" s="1"/>
  <c r="P83" i="3"/>
  <c r="L83" i="3"/>
  <c r="N84" i="3" s="1"/>
  <c r="M82" i="3"/>
  <c r="O85" i="3" l="1"/>
  <c r="Q86" i="3" s="1"/>
  <c r="P84" i="3"/>
  <c r="L84" i="3"/>
  <c r="N85" i="3" s="1"/>
  <c r="M83" i="3"/>
  <c r="O86" i="3" l="1"/>
  <c r="Q87" i="3" s="1"/>
  <c r="P85" i="3"/>
  <c r="L85" i="3"/>
  <c r="N86" i="3" s="1"/>
  <c r="M84" i="3"/>
  <c r="O87" i="3" l="1"/>
  <c r="Q88" i="3" s="1"/>
  <c r="P86" i="3"/>
  <c r="L86" i="3"/>
  <c r="N87" i="3" s="1"/>
  <c r="M85" i="3"/>
  <c r="O88" i="3" l="1"/>
  <c r="Q89" i="3" s="1"/>
  <c r="P87" i="3"/>
  <c r="L87" i="3"/>
  <c r="N88" i="3" s="1"/>
  <c r="M86" i="3"/>
  <c r="O89" i="3" l="1"/>
  <c r="Q90" i="3" s="1"/>
  <c r="P88" i="3"/>
  <c r="L88" i="3"/>
  <c r="N89" i="3" s="1"/>
  <c r="M87" i="3"/>
  <c r="O90" i="3" l="1"/>
  <c r="Q91" i="3" s="1"/>
  <c r="P89" i="3"/>
  <c r="L89" i="3"/>
  <c r="N90" i="3" s="1"/>
  <c r="M88" i="3"/>
  <c r="O91" i="3" l="1"/>
  <c r="Q92" i="3" s="1"/>
  <c r="P90" i="3"/>
  <c r="L90" i="3"/>
  <c r="N91" i="3" s="1"/>
  <c r="M89" i="3"/>
  <c r="O92" i="3" l="1"/>
  <c r="Q93" i="3" s="1"/>
  <c r="P91" i="3"/>
  <c r="L91" i="3"/>
  <c r="N92" i="3" s="1"/>
  <c r="M90" i="3"/>
  <c r="O93" i="3" l="1"/>
  <c r="Q94" i="3" s="1"/>
  <c r="P92" i="3"/>
  <c r="L92" i="3"/>
  <c r="N93" i="3" s="1"/>
  <c r="M91" i="3"/>
  <c r="O94" i="3" l="1"/>
  <c r="Q95" i="3" s="1"/>
  <c r="P93" i="3"/>
  <c r="L93" i="3"/>
  <c r="N94" i="3" s="1"/>
  <c r="M92" i="3"/>
  <c r="O95" i="3" l="1"/>
  <c r="Q96" i="3" s="1"/>
  <c r="P94" i="3"/>
  <c r="L94" i="3"/>
  <c r="N95" i="3" s="1"/>
  <c r="M93" i="3"/>
  <c r="O96" i="3" l="1"/>
  <c r="Q97" i="3" s="1"/>
  <c r="P95" i="3"/>
  <c r="L95" i="3"/>
  <c r="N96" i="3" s="1"/>
  <c r="M94" i="3"/>
  <c r="O97" i="3" l="1"/>
  <c r="Q98" i="3" s="1"/>
  <c r="P96" i="3"/>
  <c r="L96" i="3"/>
  <c r="N97" i="3" s="1"/>
  <c r="M95" i="3"/>
  <c r="O98" i="3" l="1"/>
  <c r="Q99" i="3" s="1"/>
  <c r="P97" i="3"/>
  <c r="L97" i="3"/>
  <c r="N98" i="3" s="1"/>
  <c r="M96" i="3"/>
  <c r="O99" i="3" l="1"/>
  <c r="Q100" i="3" s="1"/>
  <c r="P98" i="3"/>
  <c r="L98" i="3"/>
  <c r="N99" i="3" s="1"/>
  <c r="M97" i="3"/>
  <c r="O100" i="3" l="1"/>
  <c r="Q101" i="3" s="1"/>
  <c r="P99" i="3"/>
  <c r="L99" i="3"/>
  <c r="N100" i="3" s="1"/>
  <c r="M98" i="3"/>
  <c r="O101" i="3" l="1"/>
  <c r="Q102" i="3" s="1"/>
  <c r="P100" i="3"/>
  <c r="L100" i="3"/>
  <c r="N101" i="3" s="1"/>
  <c r="M99" i="3"/>
  <c r="O102" i="3" l="1"/>
  <c r="Q103" i="3" s="1"/>
  <c r="P101" i="3"/>
  <c r="L101" i="3"/>
  <c r="N102" i="3" s="1"/>
  <c r="M100" i="3"/>
  <c r="O103" i="3" l="1"/>
  <c r="Q104" i="3" s="1"/>
  <c r="P102" i="3"/>
  <c r="L102" i="3"/>
  <c r="N103" i="3" s="1"/>
  <c r="M101" i="3"/>
  <c r="O104" i="3" l="1"/>
  <c r="Q105" i="3" s="1"/>
  <c r="P103" i="3"/>
  <c r="L103" i="3"/>
  <c r="N104" i="3" s="1"/>
  <c r="M102" i="3"/>
  <c r="O105" i="3" l="1"/>
  <c r="Q106" i="3" s="1"/>
  <c r="P104" i="3"/>
  <c r="L104" i="3"/>
  <c r="N105" i="3" s="1"/>
  <c r="M103" i="3"/>
  <c r="O106" i="3" l="1"/>
  <c r="Q107" i="3" s="1"/>
  <c r="P105" i="3"/>
  <c r="L105" i="3"/>
  <c r="N106" i="3" s="1"/>
  <c r="M104" i="3"/>
  <c r="O107" i="3" l="1"/>
  <c r="Q108" i="3" s="1"/>
  <c r="P106" i="3"/>
  <c r="L106" i="3"/>
  <c r="N107" i="3" s="1"/>
  <c r="M105" i="3"/>
  <c r="O108" i="3" l="1"/>
  <c r="Q109" i="3" s="1"/>
  <c r="P107" i="3"/>
  <c r="L107" i="3"/>
  <c r="N108" i="3" s="1"/>
  <c r="M106" i="3"/>
  <c r="O109" i="3" l="1"/>
  <c r="Q110" i="3" s="1"/>
  <c r="P108" i="3"/>
  <c r="L108" i="3"/>
  <c r="N109" i="3" s="1"/>
  <c r="M107" i="3"/>
  <c r="O110" i="3" l="1"/>
  <c r="Q111" i="3" s="1"/>
  <c r="P109" i="3"/>
  <c r="L109" i="3"/>
  <c r="N110" i="3" s="1"/>
  <c r="M108" i="3"/>
  <c r="O111" i="3" l="1"/>
  <c r="Q112" i="3" s="1"/>
  <c r="P110" i="3"/>
  <c r="L110" i="3"/>
  <c r="N111" i="3" s="1"/>
  <c r="M109" i="3"/>
  <c r="O112" i="3" l="1"/>
  <c r="Q113" i="3" s="1"/>
  <c r="P111" i="3"/>
  <c r="L111" i="3"/>
  <c r="N112" i="3" s="1"/>
  <c r="M110" i="3"/>
  <c r="O113" i="3" l="1"/>
  <c r="Q114" i="3" s="1"/>
  <c r="P112" i="3"/>
  <c r="L112" i="3"/>
  <c r="N113" i="3" s="1"/>
  <c r="M111" i="3"/>
  <c r="O114" i="3" l="1"/>
  <c r="Q115" i="3" s="1"/>
  <c r="P113" i="3"/>
  <c r="L113" i="3"/>
  <c r="N114" i="3" s="1"/>
  <c r="M112" i="3"/>
  <c r="O115" i="3" l="1"/>
  <c r="Q116" i="3" s="1"/>
  <c r="P114" i="3"/>
  <c r="L114" i="3"/>
  <c r="N115" i="3" s="1"/>
  <c r="M113" i="3"/>
  <c r="O116" i="3" l="1"/>
  <c r="Q117" i="3" s="1"/>
  <c r="P115" i="3"/>
  <c r="L115" i="3"/>
  <c r="N116" i="3" s="1"/>
  <c r="M114" i="3"/>
  <c r="O117" i="3" l="1"/>
  <c r="Q118" i="3" s="1"/>
  <c r="P116" i="3"/>
  <c r="L116" i="3"/>
  <c r="N117" i="3" s="1"/>
  <c r="M115" i="3"/>
  <c r="O118" i="3" l="1"/>
  <c r="Q119" i="3" s="1"/>
  <c r="P117" i="3"/>
  <c r="L117" i="3"/>
  <c r="N118" i="3" s="1"/>
  <c r="M116" i="3"/>
  <c r="O119" i="3" l="1"/>
  <c r="Q120" i="3" s="1"/>
  <c r="P118" i="3"/>
  <c r="L118" i="3"/>
  <c r="N119" i="3" s="1"/>
  <c r="M117" i="3"/>
  <c r="O120" i="3" l="1"/>
  <c r="Q121" i="3" s="1"/>
  <c r="P119" i="3"/>
  <c r="L119" i="3"/>
  <c r="N120" i="3" s="1"/>
  <c r="M118" i="3"/>
  <c r="O121" i="3" l="1"/>
  <c r="Q122" i="3" s="1"/>
  <c r="P120" i="3"/>
  <c r="L120" i="3"/>
  <c r="N121" i="3" s="1"/>
  <c r="M119" i="3"/>
  <c r="O122" i="3" l="1"/>
  <c r="Q123" i="3" s="1"/>
  <c r="P121" i="3"/>
  <c r="L121" i="3"/>
  <c r="N122" i="3" s="1"/>
  <c r="M120" i="3"/>
  <c r="O123" i="3" l="1"/>
  <c r="Q124" i="3" s="1"/>
  <c r="P122" i="3"/>
  <c r="L122" i="3"/>
  <c r="N123" i="3" s="1"/>
  <c r="M121" i="3"/>
  <c r="O124" i="3" l="1"/>
  <c r="Q125" i="3" s="1"/>
  <c r="P123" i="3"/>
  <c r="L123" i="3"/>
  <c r="N124" i="3" s="1"/>
  <c r="M122" i="3"/>
  <c r="O125" i="3" l="1"/>
  <c r="Q126" i="3" s="1"/>
  <c r="P124" i="3"/>
  <c r="L124" i="3"/>
  <c r="N125" i="3" s="1"/>
  <c r="M123" i="3"/>
  <c r="O126" i="3" l="1"/>
  <c r="Q127" i="3" s="1"/>
  <c r="P125" i="3"/>
  <c r="L125" i="3"/>
  <c r="N126" i="3" s="1"/>
  <c r="M124" i="3"/>
  <c r="O127" i="3" l="1"/>
  <c r="Q128" i="3" s="1"/>
  <c r="P126" i="3"/>
  <c r="L126" i="3"/>
  <c r="N127" i="3" s="1"/>
  <c r="M125" i="3"/>
  <c r="O128" i="3" l="1"/>
  <c r="Q129" i="3" s="1"/>
  <c r="P127" i="3"/>
  <c r="L127" i="3"/>
  <c r="N128" i="3" s="1"/>
  <c r="M126" i="3"/>
  <c r="O129" i="3" l="1"/>
  <c r="Q130" i="3" s="1"/>
  <c r="P128" i="3"/>
  <c r="L128" i="3"/>
  <c r="N129" i="3" s="1"/>
  <c r="M127" i="3"/>
  <c r="O130" i="3" l="1"/>
  <c r="Q131" i="3" s="1"/>
  <c r="P129" i="3"/>
  <c r="L129" i="3"/>
  <c r="N130" i="3" s="1"/>
  <c r="M128" i="3"/>
  <c r="O131" i="3" l="1"/>
  <c r="Q132" i="3" s="1"/>
  <c r="P130" i="3"/>
  <c r="L130" i="3"/>
  <c r="N131" i="3" s="1"/>
  <c r="M129" i="3"/>
  <c r="O132" i="3" l="1"/>
  <c r="Q133" i="3" s="1"/>
  <c r="P131" i="3"/>
  <c r="L131" i="3"/>
  <c r="N132" i="3" s="1"/>
  <c r="M130" i="3"/>
  <c r="O133" i="3" l="1"/>
  <c r="Q134" i="3" s="1"/>
  <c r="P132" i="3"/>
  <c r="L132" i="3"/>
  <c r="N133" i="3" s="1"/>
  <c r="M131" i="3"/>
  <c r="O134" i="3" l="1"/>
  <c r="Q135" i="3" s="1"/>
  <c r="P133" i="3"/>
  <c r="L133" i="3"/>
  <c r="N134" i="3" s="1"/>
  <c r="M132" i="3"/>
  <c r="O135" i="3" l="1"/>
  <c r="Q136" i="3" s="1"/>
  <c r="P134" i="3"/>
  <c r="L134" i="3"/>
  <c r="N135" i="3" s="1"/>
  <c r="M133" i="3"/>
  <c r="O136" i="3" l="1"/>
  <c r="Q137" i="3" s="1"/>
  <c r="P135" i="3"/>
  <c r="L135" i="3"/>
  <c r="N136" i="3" s="1"/>
  <c r="M134" i="3"/>
  <c r="O137" i="3" l="1"/>
  <c r="Q138" i="3" s="1"/>
  <c r="P136" i="3"/>
  <c r="L136" i="3"/>
  <c r="N137" i="3" s="1"/>
  <c r="M135" i="3"/>
  <c r="O138" i="3" l="1"/>
  <c r="Q139" i="3" s="1"/>
  <c r="P137" i="3"/>
  <c r="L137" i="3"/>
  <c r="N138" i="3" s="1"/>
  <c r="M136" i="3"/>
  <c r="O139" i="3" l="1"/>
  <c r="Q140" i="3" s="1"/>
  <c r="P138" i="3"/>
  <c r="L138" i="3"/>
  <c r="N139" i="3" s="1"/>
  <c r="M137" i="3"/>
  <c r="O140" i="3" l="1"/>
  <c r="Q141" i="3" s="1"/>
  <c r="P139" i="3"/>
  <c r="L139" i="3"/>
  <c r="N140" i="3" s="1"/>
  <c r="M138" i="3"/>
  <c r="O141" i="3" l="1"/>
  <c r="Q142" i="3" s="1"/>
  <c r="P140" i="3"/>
  <c r="L140" i="3"/>
  <c r="N141" i="3" s="1"/>
  <c r="M139" i="3"/>
  <c r="O142" i="3" l="1"/>
  <c r="Q143" i="3" s="1"/>
  <c r="P141" i="3"/>
  <c r="L141" i="3"/>
  <c r="N142" i="3" s="1"/>
  <c r="M140" i="3"/>
  <c r="O143" i="3" l="1"/>
  <c r="Q144" i="3" s="1"/>
  <c r="P142" i="3"/>
  <c r="L142" i="3"/>
  <c r="N143" i="3" s="1"/>
  <c r="M141" i="3"/>
  <c r="O144" i="3" l="1"/>
  <c r="Q145" i="3" s="1"/>
  <c r="P143" i="3"/>
  <c r="L143" i="3"/>
  <c r="N144" i="3" s="1"/>
  <c r="M142" i="3"/>
  <c r="O145" i="3" l="1"/>
  <c r="Q146" i="3" s="1"/>
  <c r="P144" i="3"/>
  <c r="L144" i="3"/>
  <c r="N145" i="3" s="1"/>
  <c r="M143" i="3"/>
  <c r="O146" i="3" l="1"/>
  <c r="Q147" i="3" s="1"/>
  <c r="P145" i="3"/>
  <c r="L145" i="3"/>
  <c r="N146" i="3" s="1"/>
  <c r="M144" i="3"/>
  <c r="O147" i="3" l="1"/>
  <c r="Q148" i="3" s="1"/>
  <c r="P146" i="3"/>
  <c r="L146" i="3"/>
  <c r="N147" i="3" s="1"/>
  <c r="M145" i="3"/>
  <c r="O148" i="3" l="1"/>
  <c r="Q149" i="3" s="1"/>
  <c r="P147" i="3"/>
  <c r="L147" i="3"/>
  <c r="N148" i="3" s="1"/>
  <c r="M146" i="3"/>
  <c r="O149" i="3" l="1"/>
  <c r="Q150" i="3" s="1"/>
  <c r="P148" i="3"/>
  <c r="L148" i="3"/>
  <c r="N149" i="3" s="1"/>
  <c r="M147" i="3"/>
  <c r="O150" i="3" l="1"/>
  <c r="Q151" i="3" s="1"/>
  <c r="P149" i="3"/>
  <c r="L149" i="3"/>
  <c r="N150" i="3" s="1"/>
  <c r="M148" i="3"/>
  <c r="O151" i="3" l="1"/>
  <c r="Q152" i="3" s="1"/>
  <c r="P150" i="3"/>
  <c r="L150" i="3"/>
  <c r="N151" i="3" s="1"/>
  <c r="M149" i="3"/>
  <c r="O152" i="3" l="1"/>
  <c r="Q153" i="3" s="1"/>
  <c r="P151" i="3"/>
  <c r="L151" i="3"/>
  <c r="N152" i="3" s="1"/>
  <c r="M150" i="3"/>
  <c r="O153" i="3" l="1"/>
  <c r="Q154" i="3" s="1"/>
  <c r="P152" i="3"/>
  <c r="L152" i="3"/>
  <c r="N153" i="3" s="1"/>
  <c r="M151" i="3"/>
  <c r="O154" i="3" l="1"/>
  <c r="Q155" i="3" s="1"/>
  <c r="P153" i="3"/>
  <c r="L153" i="3"/>
  <c r="N154" i="3" s="1"/>
  <c r="M152" i="3"/>
  <c r="O155" i="3" l="1"/>
  <c r="Q156" i="3" s="1"/>
  <c r="P154" i="3"/>
  <c r="L154" i="3"/>
  <c r="N155" i="3" s="1"/>
  <c r="M153" i="3"/>
  <c r="O156" i="3" l="1"/>
  <c r="Q157" i="3" s="1"/>
  <c r="P155" i="3"/>
  <c r="L155" i="3"/>
  <c r="N156" i="3" s="1"/>
  <c r="M154" i="3"/>
  <c r="O157" i="3" l="1"/>
  <c r="Q158" i="3" s="1"/>
  <c r="P156" i="3"/>
  <c r="L156" i="3"/>
  <c r="N157" i="3" s="1"/>
  <c r="M155" i="3"/>
  <c r="O158" i="3" l="1"/>
  <c r="Q159" i="3" s="1"/>
  <c r="P157" i="3"/>
  <c r="L157" i="3"/>
  <c r="N158" i="3" s="1"/>
  <c r="M156" i="3"/>
  <c r="O159" i="3" l="1"/>
  <c r="Q160" i="3" s="1"/>
  <c r="P158" i="3"/>
  <c r="L158" i="3"/>
  <c r="N159" i="3" s="1"/>
  <c r="M157" i="3"/>
  <c r="O160" i="3" l="1"/>
  <c r="Q161" i="3" s="1"/>
  <c r="P159" i="3"/>
  <c r="L159" i="3"/>
  <c r="N160" i="3" s="1"/>
  <c r="M158" i="3"/>
  <c r="O161" i="3" l="1"/>
  <c r="Q162" i="3" s="1"/>
  <c r="P160" i="3"/>
  <c r="L160" i="3"/>
  <c r="N161" i="3" s="1"/>
  <c r="M159" i="3"/>
  <c r="O162" i="3" l="1"/>
  <c r="Q163" i="3" s="1"/>
  <c r="P161" i="3"/>
  <c r="L161" i="3"/>
  <c r="N162" i="3" s="1"/>
  <c r="M160" i="3"/>
  <c r="O163" i="3" l="1"/>
  <c r="Q164" i="3" s="1"/>
  <c r="P162" i="3"/>
  <c r="L162" i="3"/>
  <c r="N163" i="3" s="1"/>
  <c r="M161" i="3"/>
  <c r="O164" i="3" l="1"/>
  <c r="Q165" i="3" s="1"/>
  <c r="P163" i="3"/>
  <c r="L163" i="3"/>
  <c r="N164" i="3" s="1"/>
  <c r="M162" i="3"/>
  <c r="O165" i="3" l="1"/>
  <c r="Q166" i="3" s="1"/>
  <c r="P164" i="3"/>
  <c r="L164" i="3"/>
  <c r="N165" i="3" s="1"/>
  <c r="M163" i="3"/>
  <c r="O166" i="3" l="1"/>
  <c r="Q167" i="3" s="1"/>
  <c r="P165" i="3"/>
  <c r="L165" i="3"/>
  <c r="N166" i="3" s="1"/>
  <c r="M164" i="3"/>
  <c r="O167" i="3" l="1"/>
  <c r="Q168" i="3" s="1"/>
  <c r="P166" i="3"/>
  <c r="L166" i="3"/>
  <c r="N167" i="3" s="1"/>
  <c r="M165" i="3"/>
  <c r="O168" i="3" l="1"/>
  <c r="Q169" i="3" s="1"/>
  <c r="P167" i="3"/>
  <c r="L167" i="3"/>
  <c r="N168" i="3" s="1"/>
  <c r="M166" i="3"/>
  <c r="O169" i="3" l="1"/>
  <c r="Q170" i="3" s="1"/>
  <c r="P168" i="3"/>
  <c r="L168" i="3"/>
  <c r="N169" i="3" s="1"/>
  <c r="M167" i="3"/>
  <c r="O170" i="3" l="1"/>
  <c r="Q171" i="3" s="1"/>
  <c r="P169" i="3"/>
  <c r="L169" i="3"/>
  <c r="N170" i="3" s="1"/>
  <c r="M168" i="3"/>
  <c r="O171" i="3" l="1"/>
  <c r="Q172" i="3" s="1"/>
  <c r="P170" i="3"/>
  <c r="L170" i="3"/>
  <c r="N171" i="3" s="1"/>
  <c r="M169" i="3"/>
  <c r="O172" i="3" l="1"/>
  <c r="Q173" i="3" s="1"/>
  <c r="P171" i="3"/>
  <c r="L171" i="3"/>
  <c r="N172" i="3" s="1"/>
  <c r="M170" i="3"/>
  <c r="O173" i="3" l="1"/>
  <c r="Q174" i="3" s="1"/>
  <c r="P172" i="3"/>
  <c r="L172" i="3"/>
  <c r="N173" i="3" s="1"/>
  <c r="M171" i="3"/>
  <c r="O174" i="3" l="1"/>
  <c r="Q175" i="3" s="1"/>
  <c r="P173" i="3"/>
  <c r="L173" i="3"/>
  <c r="N174" i="3" s="1"/>
  <c r="M172" i="3"/>
  <c r="O175" i="3" l="1"/>
  <c r="Q176" i="3" s="1"/>
  <c r="P174" i="3"/>
  <c r="L174" i="3"/>
  <c r="N175" i="3" s="1"/>
  <c r="M173" i="3"/>
  <c r="O176" i="3" l="1"/>
  <c r="Q177" i="3" s="1"/>
  <c r="P175" i="3"/>
  <c r="L175" i="3"/>
  <c r="N176" i="3" s="1"/>
  <c r="M174" i="3"/>
  <c r="O177" i="3" l="1"/>
  <c r="Q178" i="3" s="1"/>
  <c r="P176" i="3"/>
  <c r="L176" i="3"/>
  <c r="N177" i="3" s="1"/>
  <c r="M175" i="3"/>
  <c r="O178" i="3" l="1"/>
  <c r="Q179" i="3" s="1"/>
  <c r="P177" i="3"/>
  <c r="L177" i="3"/>
  <c r="N178" i="3" s="1"/>
  <c r="M176" i="3"/>
  <c r="O179" i="3" l="1"/>
  <c r="Q180" i="3" s="1"/>
  <c r="P178" i="3"/>
  <c r="L178" i="3"/>
  <c r="N179" i="3" s="1"/>
  <c r="M177" i="3"/>
  <c r="O180" i="3" l="1"/>
  <c r="Q181" i="3" s="1"/>
  <c r="P179" i="3"/>
  <c r="L179" i="3"/>
  <c r="N180" i="3" s="1"/>
  <c r="M178" i="3"/>
  <c r="O181" i="3" l="1"/>
  <c r="Q182" i="3" s="1"/>
  <c r="P180" i="3"/>
  <c r="L180" i="3"/>
  <c r="N181" i="3" s="1"/>
  <c r="M179" i="3"/>
  <c r="O182" i="3" l="1"/>
  <c r="Q183" i="3" s="1"/>
  <c r="P181" i="3"/>
  <c r="L181" i="3"/>
  <c r="N182" i="3" s="1"/>
  <c r="M180" i="3"/>
  <c r="O183" i="3" l="1"/>
  <c r="Q184" i="3" s="1"/>
  <c r="P182" i="3"/>
  <c r="L182" i="3"/>
  <c r="N183" i="3" s="1"/>
  <c r="M181" i="3"/>
  <c r="O184" i="3" l="1"/>
  <c r="Q185" i="3" s="1"/>
  <c r="P183" i="3"/>
  <c r="L183" i="3"/>
  <c r="N184" i="3" s="1"/>
  <c r="M182" i="3"/>
  <c r="O185" i="3" l="1"/>
  <c r="Q186" i="3" s="1"/>
  <c r="P184" i="3"/>
  <c r="L184" i="3"/>
  <c r="N185" i="3" s="1"/>
  <c r="M183" i="3"/>
  <c r="O186" i="3" l="1"/>
  <c r="Q187" i="3" s="1"/>
  <c r="P185" i="3"/>
  <c r="L185" i="3"/>
  <c r="N186" i="3" s="1"/>
  <c r="M184" i="3"/>
  <c r="O187" i="3" l="1"/>
  <c r="Q188" i="3" s="1"/>
  <c r="P186" i="3"/>
  <c r="L186" i="3"/>
  <c r="N187" i="3" s="1"/>
  <c r="M185" i="3"/>
  <c r="O188" i="3" l="1"/>
  <c r="Q189" i="3" s="1"/>
  <c r="P187" i="3"/>
  <c r="L187" i="3"/>
  <c r="N188" i="3" s="1"/>
  <c r="M186" i="3"/>
  <c r="O189" i="3" l="1"/>
  <c r="Q190" i="3" s="1"/>
  <c r="P188" i="3"/>
  <c r="L188" i="3"/>
  <c r="N189" i="3" s="1"/>
  <c r="M187" i="3"/>
  <c r="O190" i="3" l="1"/>
  <c r="Q191" i="3" s="1"/>
  <c r="P189" i="3"/>
  <c r="L189" i="3"/>
  <c r="N190" i="3" s="1"/>
  <c r="M188" i="3"/>
  <c r="O191" i="3" l="1"/>
  <c r="Q192" i="3" s="1"/>
  <c r="P190" i="3"/>
  <c r="L190" i="3"/>
  <c r="N191" i="3" s="1"/>
  <c r="M189" i="3"/>
  <c r="O192" i="3" l="1"/>
  <c r="Q193" i="3" s="1"/>
  <c r="P191" i="3"/>
  <c r="L191" i="3"/>
  <c r="N192" i="3" s="1"/>
  <c r="M190" i="3"/>
  <c r="O193" i="3" l="1"/>
  <c r="Q194" i="3" s="1"/>
  <c r="P192" i="3"/>
  <c r="L192" i="3"/>
  <c r="N193" i="3" s="1"/>
  <c r="M191" i="3"/>
  <c r="O194" i="3" l="1"/>
  <c r="Q195" i="3" s="1"/>
  <c r="P193" i="3"/>
  <c r="L193" i="3"/>
  <c r="N194" i="3" s="1"/>
  <c r="M192" i="3"/>
  <c r="O195" i="3" l="1"/>
  <c r="Q196" i="3" s="1"/>
  <c r="P194" i="3"/>
  <c r="L194" i="3"/>
  <c r="N195" i="3" s="1"/>
  <c r="M193" i="3"/>
  <c r="O196" i="3" l="1"/>
  <c r="Q197" i="3" s="1"/>
  <c r="P195" i="3"/>
  <c r="L195" i="3"/>
  <c r="N196" i="3" s="1"/>
  <c r="M194" i="3"/>
  <c r="O197" i="3" l="1"/>
  <c r="Q198" i="3" s="1"/>
  <c r="P196" i="3"/>
  <c r="L196" i="3"/>
  <c r="N197" i="3" s="1"/>
  <c r="M195" i="3"/>
  <c r="O198" i="3" l="1"/>
  <c r="Q199" i="3" s="1"/>
  <c r="P197" i="3"/>
  <c r="L197" i="3"/>
  <c r="N198" i="3" s="1"/>
  <c r="M196" i="3"/>
  <c r="O199" i="3" l="1"/>
  <c r="Q200" i="3" s="1"/>
  <c r="P198" i="3"/>
  <c r="L198" i="3"/>
  <c r="N199" i="3" s="1"/>
  <c r="M197" i="3"/>
  <c r="O200" i="3" l="1"/>
  <c r="Q201" i="3" s="1"/>
  <c r="P199" i="3"/>
  <c r="L199" i="3"/>
  <c r="N200" i="3" s="1"/>
  <c r="M198" i="3"/>
  <c r="O201" i="3" l="1"/>
  <c r="Q202" i="3" s="1"/>
  <c r="P200" i="3"/>
  <c r="L200" i="3"/>
  <c r="N201" i="3" s="1"/>
  <c r="M199" i="3"/>
  <c r="O202" i="3" l="1"/>
  <c r="Q203" i="3" s="1"/>
  <c r="P201" i="3"/>
  <c r="L201" i="3"/>
  <c r="N202" i="3" s="1"/>
  <c r="M200" i="3"/>
  <c r="O203" i="3" l="1"/>
  <c r="Q204" i="3" s="1"/>
  <c r="P202" i="3"/>
  <c r="L202" i="3"/>
  <c r="N203" i="3" s="1"/>
  <c r="M201" i="3"/>
  <c r="O204" i="3" l="1"/>
  <c r="Q205" i="3" s="1"/>
  <c r="P203" i="3"/>
  <c r="L203" i="3"/>
  <c r="N204" i="3" s="1"/>
  <c r="M202" i="3"/>
  <c r="O205" i="3" l="1"/>
  <c r="Q206" i="3" s="1"/>
  <c r="P204" i="3"/>
  <c r="L204" i="3"/>
  <c r="N205" i="3" s="1"/>
  <c r="M203" i="3"/>
  <c r="O206" i="3" l="1"/>
  <c r="Q207" i="3" s="1"/>
  <c r="P205" i="3"/>
  <c r="L205" i="3"/>
  <c r="N206" i="3" s="1"/>
  <c r="M204" i="3"/>
  <c r="O207" i="3" l="1"/>
  <c r="Q208" i="3" s="1"/>
  <c r="P206" i="3"/>
  <c r="L206" i="3"/>
  <c r="N207" i="3" s="1"/>
  <c r="M205" i="3"/>
  <c r="O208" i="3" l="1"/>
  <c r="Q209" i="3" s="1"/>
  <c r="P207" i="3"/>
  <c r="L207" i="3"/>
  <c r="N208" i="3" s="1"/>
  <c r="M206" i="3"/>
  <c r="O209" i="3" l="1"/>
  <c r="Q210" i="3" s="1"/>
  <c r="P208" i="3"/>
  <c r="L208" i="3"/>
  <c r="N209" i="3" s="1"/>
  <c r="M207" i="3"/>
  <c r="O210" i="3" l="1"/>
  <c r="Q211" i="3" s="1"/>
  <c r="P209" i="3"/>
  <c r="L209" i="3"/>
  <c r="N210" i="3" s="1"/>
  <c r="M208" i="3"/>
  <c r="O211" i="3" l="1"/>
  <c r="Q212" i="3" s="1"/>
  <c r="P210" i="3"/>
  <c r="L210" i="3"/>
  <c r="N211" i="3" s="1"/>
  <c r="M209" i="3"/>
  <c r="O212" i="3" l="1"/>
  <c r="Q213" i="3" s="1"/>
  <c r="P211" i="3"/>
  <c r="L211" i="3"/>
  <c r="N212" i="3" s="1"/>
  <c r="M210" i="3"/>
  <c r="O213" i="3" l="1"/>
  <c r="Q214" i="3" s="1"/>
  <c r="P212" i="3"/>
  <c r="L212" i="3"/>
  <c r="N213" i="3" s="1"/>
  <c r="M211" i="3"/>
  <c r="O214" i="3" l="1"/>
  <c r="Q215" i="3" s="1"/>
  <c r="P213" i="3"/>
  <c r="L213" i="3"/>
  <c r="N214" i="3" s="1"/>
  <c r="M212" i="3"/>
  <c r="O215" i="3" l="1"/>
  <c r="Q216" i="3" s="1"/>
  <c r="P214" i="3"/>
  <c r="L214" i="3"/>
  <c r="N215" i="3" s="1"/>
  <c r="M213" i="3"/>
  <c r="O216" i="3" l="1"/>
  <c r="Q217" i="3" s="1"/>
  <c r="P215" i="3"/>
  <c r="L215" i="3"/>
  <c r="N216" i="3" s="1"/>
  <c r="M214" i="3"/>
  <c r="O217" i="3" l="1"/>
  <c r="Q218" i="3" s="1"/>
  <c r="P216" i="3"/>
  <c r="L216" i="3"/>
  <c r="N217" i="3" s="1"/>
  <c r="M215" i="3"/>
  <c r="O218" i="3" l="1"/>
  <c r="Q219" i="3" s="1"/>
  <c r="P217" i="3"/>
  <c r="L217" i="3"/>
  <c r="N218" i="3" s="1"/>
  <c r="M216" i="3"/>
  <c r="O219" i="3" l="1"/>
  <c r="Q220" i="3" s="1"/>
  <c r="P218" i="3"/>
  <c r="L218" i="3"/>
  <c r="N219" i="3" s="1"/>
  <c r="M217" i="3"/>
  <c r="O220" i="3" l="1"/>
  <c r="Q221" i="3" s="1"/>
  <c r="P219" i="3"/>
  <c r="L219" i="3"/>
  <c r="N220" i="3" s="1"/>
  <c r="M218" i="3"/>
  <c r="O221" i="3" l="1"/>
  <c r="Q222" i="3" s="1"/>
  <c r="P220" i="3"/>
  <c r="L220" i="3"/>
  <c r="N221" i="3" s="1"/>
  <c r="M219" i="3"/>
  <c r="O222" i="3" l="1"/>
  <c r="Q223" i="3" s="1"/>
  <c r="P221" i="3"/>
  <c r="L221" i="3"/>
  <c r="N222" i="3" s="1"/>
  <c r="M220" i="3"/>
  <c r="O223" i="3" l="1"/>
  <c r="Q224" i="3" s="1"/>
  <c r="P222" i="3"/>
  <c r="L222" i="3"/>
  <c r="N223" i="3" s="1"/>
  <c r="M221" i="3"/>
  <c r="O224" i="3" l="1"/>
  <c r="Q225" i="3" s="1"/>
  <c r="P223" i="3"/>
  <c r="L223" i="3"/>
  <c r="N224" i="3" s="1"/>
  <c r="M222" i="3"/>
  <c r="O225" i="3" l="1"/>
  <c r="Q226" i="3" s="1"/>
  <c r="P224" i="3"/>
  <c r="L224" i="3"/>
  <c r="N225" i="3" s="1"/>
  <c r="M223" i="3"/>
  <c r="O226" i="3" l="1"/>
  <c r="Q227" i="3" s="1"/>
  <c r="P225" i="3"/>
  <c r="L225" i="3"/>
  <c r="N226" i="3" s="1"/>
  <c r="M224" i="3"/>
  <c r="O227" i="3" l="1"/>
  <c r="Q228" i="3" s="1"/>
  <c r="P226" i="3"/>
  <c r="L226" i="3"/>
  <c r="N227" i="3" s="1"/>
  <c r="M225" i="3"/>
  <c r="O228" i="3" l="1"/>
  <c r="Q229" i="3" s="1"/>
  <c r="P227" i="3"/>
  <c r="L227" i="3"/>
  <c r="N228" i="3" s="1"/>
  <c r="M226" i="3"/>
  <c r="O229" i="3" l="1"/>
  <c r="Q230" i="3" s="1"/>
  <c r="P228" i="3"/>
  <c r="L228" i="3"/>
  <c r="N229" i="3" s="1"/>
  <c r="M227" i="3"/>
  <c r="O230" i="3" l="1"/>
  <c r="Q231" i="3" s="1"/>
  <c r="P229" i="3"/>
  <c r="L229" i="3"/>
  <c r="N230" i="3" s="1"/>
  <c r="M228" i="3"/>
  <c r="O231" i="3" l="1"/>
  <c r="Q232" i="3" s="1"/>
  <c r="P230" i="3"/>
  <c r="L230" i="3"/>
  <c r="N231" i="3" s="1"/>
  <c r="M229" i="3"/>
  <c r="O232" i="3" l="1"/>
  <c r="Q233" i="3" s="1"/>
  <c r="P231" i="3"/>
  <c r="L231" i="3"/>
  <c r="N232" i="3" s="1"/>
  <c r="M230" i="3"/>
  <c r="O233" i="3" l="1"/>
  <c r="Q234" i="3" s="1"/>
  <c r="P232" i="3"/>
  <c r="L232" i="3"/>
  <c r="N233" i="3" s="1"/>
  <c r="M231" i="3"/>
  <c r="O234" i="3" l="1"/>
  <c r="Q235" i="3" s="1"/>
  <c r="P233" i="3"/>
  <c r="L233" i="3"/>
  <c r="N234" i="3" s="1"/>
  <c r="M232" i="3"/>
  <c r="O235" i="3" l="1"/>
  <c r="Q236" i="3" s="1"/>
  <c r="P234" i="3"/>
  <c r="L234" i="3"/>
  <c r="N235" i="3" s="1"/>
  <c r="M233" i="3"/>
  <c r="O236" i="3" l="1"/>
  <c r="Q237" i="3" s="1"/>
  <c r="P235" i="3"/>
  <c r="L235" i="3"/>
  <c r="N236" i="3" s="1"/>
  <c r="M234" i="3"/>
  <c r="O237" i="3" l="1"/>
  <c r="Q238" i="3" s="1"/>
  <c r="P236" i="3"/>
  <c r="L236" i="3"/>
  <c r="N237" i="3" s="1"/>
  <c r="M235" i="3"/>
  <c r="O238" i="3" l="1"/>
  <c r="Q239" i="3" s="1"/>
  <c r="P237" i="3"/>
  <c r="L237" i="3"/>
  <c r="N238" i="3" s="1"/>
  <c r="M236" i="3"/>
  <c r="O239" i="3" l="1"/>
  <c r="Q240" i="3" s="1"/>
  <c r="P238" i="3"/>
  <c r="L238" i="3"/>
  <c r="N239" i="3" s="1"/>
  <c r="M237" i="3"/>
  <c r="O240" i="3" l="1"/>
  <c r="Q241" i="3" s="1"/>
  <c r="P239" i="3"/>
  <c r="L239" i="3"/>
  <c r="N240" i="3" s="1"/>
  <c r="M238" i="3"/>
  <c r="O241" i="3" l="1"/>
  <c r="Q242" i="3" s="1"/>
  <c r="P240" i="3"/>
  <c r="L240" i="3"/>
  <c r="N241" i="3" s="1"/>
  <c r="M239" i="3"/>
  <c r="O242" i="3" l="1"/>
  <c r="Q243" i="3" s="1"/>
  <c r="P241" i="3"/>
  <c r="L241" i="3"/>
  <c r="N242" i="3" s="1"/>
  <c r="M240" i="3"/>
  <c r="O243" i="3" l="1"/>
  <c r="Q244" i="3" s="1"/>
  <c r="P242" i="3"/>
  <c r="L242" i="3"/>
  <c r="N243" i="3" s="1"/>
  <c r="M241" i="3"/>
  <c r="O244" i="3" l="1"/>
  <c r="Q245" i="3" s="1"/>
  <c r="P243" i="3"/>
  <c r="L243" i="3"/>
  <c r="N244" i="3" s="1"/>
  <c r="M242" i="3"/>
  <c r="O245" i="3" l="1"/>
  <c r="Q246" i="3" s="1"/>
  <c r="P244" i="3"/>
  <c r="L244" i="3"/>
  <c r="N245" i="3" s="1"/>
  <c r="M243" i="3"/>
  <c r="O246" i="3" l="1"/>
  <c r="Q247" i="3" s="1"/>
  <c r="P245" i="3"/>
  <c r="L245" i="3"/>
  <c r="N246" i="3" s="1"/>
  <c r="M244" i="3"/>
  <c r="O247" i="3" l="1"/>
  <c r="Q248" i="3" s="1"/>
  <c r="P246" i="3"/>
  <c r="L246" i="3"/>
  <c r="N247" i="3" s="1"/>
  <c r="M245" i="3"/>
  <c r="O248" i="3" l="1"/>
  <c r="Q249" i="3" s="1"/>
  <c r="P247" i="3"/>
  <c r="L247" i="3"/>
  <c r="N248" i="3" s="1"/>
  <c r="M246" i="3"/>
  <c r="O249" i="3" l="1"/>
  <c r="Q250" i="3" s="1"/>
  <c r="P248" i="3"/>
  <c r="L248" i="3"/>
  <c r="N249" i="3" s="1"/>
  <c r="M247" i="3"/>
  <c r="O250" i="3" l="1"/>
  <c r="Q251" i="3" s="1"/>
  <c r="P249" i="3"/>
  <c r="L249" i="3"/>
  <c r="N250" i="3" s="1"/>
  <c r="M248" i="3"/>
  <c r="O251" i="3" l="1"/>
  <c r="Q252" i="3" s="1"/>
  <c r="P250" i="3"/>
  <c r="L250" i="3"/>
  <c r="N251" i="3" s="1"/>
  <c r="M249" i="3"/>
  <c r="O252" i="3" l="1"/>
  <c r="Q253" i="3" s="1"/>
  <c r="P251" i="3"/>
  <c r="L251" i="3"/>
  <c r="N252" i="3" s="1"/>
  <c r="M250" i="3"/>
  <c r="O253" i="3" l="1"/>
  <c r="Q254" i="3" s="1"/>
  <c r="P252" i="3"/>
  <c r="L252" i="3"/>
  <c r="N253" i="3" s="1"/>
  <c r="M251" i="3"/>
  <c r="O254" i="3" l="1"/>
  <c r="P254" i="3" s="1"/>
  <c r="P253" i="3"/>
  <c r="L253" i="3"/>
  <c r="N254" i="3" s="1"/>
  <c r="M252" i="3"/>
  <c r="L254" i="3" l="1"/>
  <c r="M254" i="3" s="1"/>
  <c r="M253" i="3"/>
</calcChain>
</file>

<file path=xl/connections.xml><?xml version="1.0" encoding="utf-8"?>
<connections xmlns="http://schemas.openxmlformats.org/spreadsheetml/2006/main">
  <connection id="1" name="historical?q=GOOG&amp;startdate=Jan+01%2C+2009&amp;enddate=Aug+2%2C+2012&amp;output=csv" type="6" refreshedVersion="6" saveData="1">
    <textPr prompt="0" sourceFile="http://www.google.com/finance/historical?q=GOOG&amp;startdate=Jan+01%2C+2009&amp;enddate=Aug+2%2C+2012&amp;output=csv" comma="1">
      <textFields>
        <textField/>
      </textFields>
    </textPr>
  </connection>
</connections>
</file>

<file path=xl/sharedStrings.xml><?xml version="1.0" encoding="utf-8"?>
<sst xmlns="http://schemas.openxmlformats.org/spreadsheetml/2006/main" count="33" uniqueCount="30">
  <si>
    <t>Performance</t>
  </si>
  <si>
    <t>Ending Capital</t>
  </si>
  <si>
    <t>Net Profit</t>
  </si>
  <si>
    <t># Wining Trades</t>
  </si>
  <si>
    <t># Losing Trades</t>
  </si>
  <si>
    <t>Winning Percentage</t>
  </si>
  <si>
    <t>Set Inputs</t>
  </si>
  <si>
    <t>Starting Capital</t>
  </si>
  <si>
    <t>Number of Shares</t>
  </si>
  <si>
    <t>Stochastic Long Entry Level</t>
  </si>
  <si>
    <t>Stochastic Short Entry Level</t>
  </si>
  <si>
    <t>Open Long Trades Allowed</t>
  </si>
  <si>
    <t>Open Short Trades Allowed</t>
  </si>
  <si>
    <t>Date</t>
  </si>
  <si>
    <t>Open</t>
  </si>
  <si>
    <t>High</t>
  </si>
  <si>
    <t>Low</t>
  </si>
  <si>
    <t>Close</t>
  </si>
  <si>
    <t>Volume</t>
  </si>
  <si>
    <t>EMA</t>
  </si>
  <si>
    <t>14-Day High</t>
  </si>
  <si>
    <t>14-Day Low</t>
  </si>
  <si>
    <t>%K</t>
  </si>
  <si>
    <t>%D</t>
  </si>
  <si>
    <t>Trade Long</t>
  </si>
  <si>
    <t>Position</t>
  </si>
  <si>
    <t>Trade Short</t>
  </si>
  <si>
    <t>Balance</t>
  </si>
  <si>
    <t>Ticker:</t>
  </si>
  <si>
    <t>GOOG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</si>
</sst>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&quot;$&quot;#,##0.00_);[Red]\(&quot;$&quot;#,##0.00\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auto="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1" applyNumberFormat="0" applyFont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4" fillId="4" borderId="0" xfId="3" applyAlignment="1">
      <alignment horizontal="center"/>
    </xf>
    <xf numFmtId="0" fontId="2" fillId="2" borderId="0" xfId="1" applyAlignment="1">
      <alignment horizontal="center"/>
    </xf>
    <xf numFmtId="0" fontId="3" fillId="3" borderId="0" xfId="2" applyAlignment="1">
      <alignment horizontal="center"/>
    </xf>
    <xf numFmtId="0" fontId="0" fillId="5" borderId="1" xfId="4" applyFont="1" applyAlignment="1">
      <alignment horizontal="center"/>
    </xf>
    <xf numFmtId="0" fontId="0" fillId="0" borderId="2" xfId="0" applyBorder="1" applyAlignment="1">
      <alignment horizontal="center"/>
    </xf>
    <xf numFmtId="0" fontId="0" fillId="5" borderId="3" xfId="4" applyFont="1" applyBorder="1" applyAlignment="1">
      <alignment horizontal="center"/>
    </xf>
    <xf numFmtId="0" fontId="2" fillId="2" borderId="2" xfId="1" applyBorder="1" applyAlignment="1">
      <alignment horizontal="center"/>
    </xf>
    <xf numFmtId="0" fontId="3" fillId="3" borderId="2" xfId="2" applyBorder="1" applyAlignment="1">
      <alignment horizontal="center"/>
    </xf>
    <xf numFmtId="0" fontId="0" fillId="0" borderId="2" xfId="0" applyBorder="1"/>
    <xf numFmtId="15" fontId="0" fillId="0" borderId="0" xfId="0" applyNumberFormat="1" applyAlignment="1">
      <alignment horizontal="center"/>
    </xf>
    <xf numFmtId="8" fontId="0" fillId="0" borderId="0" xfId="0" applyNumberFormat="1"/>
    <xf numFmtId="10" fontId="0" fillId="0" borderId="0" xfId="0" applyNumberFormat="1"/>
  </cellXfs>
  <cellStyles count="5">
    <cellStyle name="Bad" xfId="2" builtinId="27"/>
    <cellStyle name="Good" xfId="1" builtinId="26"/>
    <cellStyle name="Neutral" xfId="3" builtinId="28"/>
    <cellStyle name="Normal" xfId="0" builtinId="0"/>
    <cellStyle name="Note" xfId="4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Candlestick Chart: GOOG</a:t>
            </a:r>
          </a:p>
        </c:rich>
      </c:tx>
      <c:layout/>
      <c:overlay val="0"/>
    </c:title>
    <c:autoTitleDeleted val="0"/>
    <c:plotArea>
      <c:layout/>
      <c:stockChart>
        <c:ser>
          <c:idx val="0"/>
          <c:order val="0"/>
          <c:spPr>
            <a:ln w="19050">
              <a:noFill/>
            </a:ln>
          </c:spPr>
          <c:marker>
            <c:symbol val="none"/>
          </c:marker>
          <c:cat>
            <c:numRef>
              <c:f>Trades!$A$4:$A$254</c:f>
              <c:numCache>
                <c:formatCode>d\-mmm\-yy</c:formatCode>
                <c:ptCount val="251"/>
                <c:pt idx="0">
                  <c:v>43039</c:v>
                </c:pt>
                <c:pt idx="1">
                  <c:v>43038</c:v>
                </c:pt>
                <c:pt idx="2">
                  <c:v>43035</c:v>
                </c:pt>
                <c:pt idx="3">
                  <c:v>43034</c:v>
                </c:pt>
                <c:pt idx="4">
                  <c:v>43033</c:v>
                </c:pt>
                <c:pt idx="5">
                  <c:v>43032</c:v>
                </c:pt>
                <c:pt idx="6">
                  <c:v>43031</c:v>
                </c:pt>
                <c:pt idx="7">
                  <c:v>43028</c:v>
                </c:pt>
                <c:pt idx="8">
                  <c:v>43027</c:v>
                </c:pt>
                <c:pt idx="9">
                  <c:v>43026</c:v>
                </c:pt>
                <c:pt idx="10">
                  <c:v>43025</c:v>
                </c:pt>
                <c:pt idx="11">
                  <c:v>43024</c:v>
                </c:pt>
                <c:pt idx="12">
                  <c:v>43021</c:v>
                </c:pt>
                <c:pt idx="13">
                  <c:v>43020</c:v>
                </c:pt>
                <c:pt idx="14">
                  <c:v>43019</c:v>
                </c:pt>
                <c:pt idx="15">
                  <c:v>43018</c:v>
                </c:pt>
                <c:pt idx="16">
                  <c:v>43017</c:v>
                </c:pt>
                <c:pt idx="17">
                  <c:v>43014</c:v>
                </c:pt>
                <c:pt idx="18">
                  <c:v>43013</c:v>
                </c:pt>
                <c:pt idx="19">
                  <c:v>43012</c:v>
                </c:pt>
                <c:pt idx="20">
                  <c:v>43011</c:v>
                </c:pt>
                <c:pt idx="21">
                  <c:v>43010</c:v>
                </c:pt>
                <c:pt idx="22">
                  <c:v>43007</c:v>
                </c:pt>
                <c:pt idx="23">
                  <c:v>43006</c:v>
                </c:pt>
                <c:pt idx="24">
                  <c:v>43005</c:v>
                </c:pt>
                <c:pt idx="25">
                  <c:v>43004</c:v>
                </c:pt>
                <c:pt idx="26">
                  <c:v>43003</c:v>
                </c:pt>
                <c:pt idx="27">
                  <c:v>43000</c:v>
                </c:pt>
                <c:pt idx="28">
                  <c:v>42999</c:v>
                </c:pt>
                <c:pt idx="29">
                  <c:v>42998</c:v>
                </c:pt>
                <c:pt idx="30">
                  <c:v>42997</c:v>
                </c:pt>
                <c:pt idx="31">
                  <c:v>42996</c:v>
                </c:pt>
                <c:pt idx="32">
                  <c:v>42993</c:v>
                </c:pt>
                <c:pt idx="33">
                  <c:v>42992</c:v>
                </c:pt>
                <c:pt idx="34">
                  <c:v>42991</c:v>
                </c:pt>
                <c:pt idx="35">
                  <c:v>42990</c:v>
                </c:pt>
                <c:pt idx="36">
                  <c:v>42989</c:v>
                </c:pt>
                <c:pt idx="37">
                  <c:v>42986</c:v>
                </c:pt>
                <c:pt idx="38">
                  <c:v>42985</c:v>
                </c:pt>
                <c:pt idx="39">
                  <c:v>42984</c:v>
                </c:pt>
                <c:pt idx="40">
                  <c:v>42983</c:v>
                </c:pt>
                <c:pt idx="41">
                  <c:v>42979</c:v>
                </c:pt>
                <c:pt idx="42">
                  <c:v>42978</c:v>
                </c:pt>
                <c:pt idx="43">
                  <c:v>42977</c:v>
                </c:pt>
                <c:pt idx="44">
                  <c:v>42976</c:v>
                </c:pt>
                <c:pt idx="45">
                  <c:v>42975</c:v>
                </c:pt>
                <c:pt idx="46">
                  <c:v>42972</c:v>
                </c:pt>
                <c:pt idx="47">
                  <c:v>42971</c:v>
                </c:pt>
                <c:pt idx="48">
                  <c:v>42970</c:v>
                </c:pt>
                <c:pt idx="49">
                  <c:v>42969</c:v>
                </c:pt>
                <c:pt idx="50">
                  <c:v>42968</c:v>
                </c:pt>
                <c:pt idx="51">
                  <c:v>42965</c:v>
                </c:pt>
                <c:pt idx="52">
                  <c:v>42964</c:v>
                </c:pt>
                <c:pt idx="53">
                  <c:v>42963</c:v>
                </c:pt>
                <c:pt idx="54">
                  <c:v>42962</c:v>
                </c:pt>
                <c:pt idx="55">
                  <c:v>42961</c:v>
                </c:pt>
                <c:pt idx="56">
                  <c:v>42958</c:v>
                </c:pt>
                <c:pt idx="57">
                  <c:v>42957</c:v>
                </c:pt>
                <c:pt idx="58">
                  <c:v>42956</c:v>
                </c:pt>
                <c:pt idx="59">
                  <c:v>42955</c:v>
                </c:pt>
                <c:pt idx="60">
                  <c:v>42954</c:v>
                </c:pt>
                <c:pt idx="61">
                  <c:v>42951</c:v>
                </c:pt>
                <c:pt idx="62">
                  <c:v>42950</c:v>
                </c:pt>
                <c:pt idx="63">
                  <c:v>42949</c:v>
                </c:pt>
                <c:pt idx="64">
                  <c:v>42948</c:v>
                </c:pt>
                <c:pt idx="65">
                  <c:v>42947</c:v>
                </c:pt>
                <c:pt idx="66">
                  <c:v>42944</c:v>
                </c:pt>
                <c:pt idx="67">
                  <c:v>42943</c:v>
                </c:pt>
                <c:pt idx="68">
                  <c:v>42942</c:v>
                </c:pt>
                <c:pt idx="69">
                  <c:v>42941</c:v>
                </c:pt>
                <c:pt idx="70">
                  <c:v>42940</c:v>
                </c:pt>
                <c:pt idx="71">
                  <c:v>42937</c:v>
                </c:pt>
                <c:pt idx="72">
                  <c:v>42936</c:v>
                </c:pt>
                <c:pt idx="73">
                  <c:v>42935</c:v>
                </c:pt>
                <c:pt idx="74">
                  <c:v>42934</c:v>
                </c:pt>
                <c:pt idx="75">
                  <c:v>42933</c:v>
                </c:pt>
                <c:pt idx="76">
                  <c:v>42930</c:v>
                </c:pt>
                <c:pt idx="77">
                  <c:v>42929</c:v>
                </c:pt>
                <c:pt idx="78">
                  <c:v>42928</c:v>
                </c:pt>
                <c:pt idx="79">
                  <c:v>42927</c:v>
                </c:pt>
                <c:pt idx="80">
                  <c:v>42926</c:v>
                </c:pt>
                <c:pt idx="81">
                  <c:v>42923</c:v>
                </c:pt>
                <c:pt idx="82">
                  <c:v>42922</c:v>
                </c:pt>
                <c:pt idx="83">
                  <c:v>42921</c:v>
                </c:pt>
                <c:pt idx="84">
                  <c:v>42919</c:v>
                </c:pt>
                <c:pt idx="85">
                  <c:v>42916</c:v>
                </c:pt>
                <c:pt idx="86">
                  <c:v>42915</c:v>
                </c:pt>
                <c:pt idx="87">
                  <c:v>42914</c:v>
                </c:pt>
                <c:pt idx="88">
                  <c:v>42913</c:v>
                </c:pt>
                <c:pt idx="89">
                  <c:v>42912</c:v>
                </c:pt>
                <c:pt idx="90">
                  <c:v>42909</c:v>
                </c:pt>
                <c:pt idx="91">
                  <c:v>42908</c:v>
                </c:pt>
                <c:pt idx="92">
                  <c:v>42907</c:v>
                </c:pt>
                <c:pt idx="93">
                  <c:v>42906</c:v>
                </c:pt>
                <c:pt idx="94">
                  <c:v>42905</c:v>
                </c:pt>
                <c:pt idx="95">
                  <c:v>42902</c:v>
                </c:pt>
                <c:pt idx="96">
                  <c:v>42901</c:v>
                </c:pt>
                <c:pt idx="97">
                  <c:v>42900</c:v>
                </c:pt>
                <c:pt idx="98">
                  <c:v>42899</c:v>
                </c:pt>
                <c:pt idx="99">
                  <c:v>42898</c:v>
                </c:pt>
                <c:pt idx="100">
                  <c:v>42895</c:v>
                </c:pt>
                <c:pt idx="101">
                  <c:v>42894</c:v>
                </c:pt>
                <c:pt idx="102">
                  <c:v>42893</c:v>
                </c:pt>
                <c:pt idx="103">
                  <c:v>42892</c:v>
                </c:pt>
                <c:pt idx="104">
                  <c:v>42891</c:v>
                </c:pt>
                <c:pt idx="105">
                  <c:v>42888</c:v>
                </c:pt>
                <c:pt idx="106">
                  <c:v>42887</c:v>
                </c:pt>
                <c:pt idx="107">
                  <c:v>42886</c:v>
                </c:pt>
                <c:pt idx="108">
                  <c:v>42885</c:v>
                </c:pt>
                <c:pt idx="109">
                  <c:v>42881</c:v>
                </c:pt>
                <c:pt idx="110">
                  <c:v>42880</c:v>
                </c:pt>
                <c:pt idx="111">
                  <c:v>42879</c:v>
                </c:pt>
                <c:pt idx="112">
                  <c:v>42878</c:v>
                </c:pt>
                <c:pt idx="113">
                  <c:v>42877</c:v>
                </c:pt>
                <c:pt idx="114">
                  <c:v>42874</c:v>
                </c:pt>
                <c:pt idx="115">
                  <c:v>42873</c:v>
                </c:pt>
                <c:pt idx="116">
                  <c:v>42872</c:v>
                </c:pt>
                <c:pt idx="117">
                  <c:v>42871</c:v>
                </c:pt>
                <c:pt idx="118">
                  <c:v>42870</c:v>
                </c:pt>
                <c:pt idx="119">
                  <c:v>42867</c:v>
                </c:pt>
                <c:pt idx="120">
                  <c:v>42866</c:v>
                </c:pt>
                <c:pt idx="121">
                  <c:v>42865</c:v>
                </c:pt>
                <c:pt idx="122">
                  <c:v>42864</c:v>
                </c:pt>
                <c:pt idx="123">
                  <c:v>42863</c:v>
                </c:pt>
                <c:pt idx="124">
                  <c:v>42860</c:v>
                </c:pt>
                <c:pt idx="125">
                  <c:v>42859</c:v>
                </c:pt>
                <c:pt idx="126">
                  <c:v>42858</c:v>
                </c:pt>
                <c:pt idx="127">
                  <c:v>42857</c:v>
                </c:pt>
                <c:pt idx="128">
                  <c:v>42856</c:v>
                </c:pt>
                <c:pt idx="129">
                  <c:v>42853</c:v>
                </c:pt>
                <c:pt idx="130">
                  <c:v>42852</c:v>
                </c:pt>
                <c:pt idx="131">
                  <c:v>42851</c:v>
                </c:pt>
                <c:pt idx="132">
                  <c:v>42850</c:v>
                </c:pt>
                <c:pt idx="133">
                  <c:v>42849</c:v>
                </c:pt>
                <c:pt idx="134">
                  <c:v>42846</c:v>
                </c:pt>
                <c:pt idx="135">
                  <c:v>42845</c:v>
                </c:pt>
                <c:pt idx="136">
                  <c:v>42844</c:v>
                </c:pt>
                <c:pt idx="137">
                  <c:v>42843</c:v>
                </c:pt>
                <c:pt idx="138">
                  <c:v>42842</c:v>
                </c:pt>
                <c:pt idx="139">
                  <c:v>42838</c:v>
                </c:pt>
                <c:pt idx="140">
                  <c:v>42837</c:v>
                </c:pt>
                <c:pt idx="141">
                  <c:v>42836</c:v>
                </c:pt>
                <c:pt idx="142">
                  <c:v>42835</c:v>
                </c:pt>
                <c:pt idx="143">
                  <c:v>42832</c:v>
                </c:pt>
                <c:pt idx="144">
                  <c:v>42831</c:v>
                </c:pt>
                <c:pt idx="145">
                  <c:v>42830</c:v>
                </c:pt>
                <c:pt idx="146">
                  <c:v>42829</c:v>
                </c:pt>
                <c:pt idx="147">
                  <c:v>42828</c:v>
                </c:pt>
                <c:pt idx="148">
                  <c:v>42825</c:v>
                </c:pt>
                <c:pt idx="149">
                  <c:v>42824</c:v>
                </c:pt>
                <c:pt idx="150">
                  <c:v>42823</c:v>
                </c:pt>
                <c:pt idx="151">
                  <c:v>42822</c:v>
                </c:pt>
                <c:pt idx="152">
                  <c:v>42821</c:v>
                </c:pt>
                <c:pt idx="153">
                  <c:v>42818</c:v>
                </c:pt>
                <c:pt idx="154">
                  <c:v>42817</c:v>
                </c:pt>
                <c:pt idx="155">
                  <c:v>42816</c:v>
                </c:pt>
                <c:pt idx="156">
                  <c:v>42815</c:v>
                </c:pt>
                <c:pt idx="157">
                  <c:v>42814</c:v>
                </c:pt>
                <c:pt idx="158">
                  <c:v>42811</c:v>
                </c:pt>
                <c:pt idx="159">
                  <c:v>42810</c:v>
                </c:pt>
                <c:pt idx="160">
                  <c:v>42809</c:v>
                </c:pt>
                <c:pt idx="161">
                  <c:v>42808</c:v>
                </c:pt>
                <c:pt idx="162">
                  <c:v>42807</c:v>
                </c:pt>
                <c:pt idx="163">
                  <c:v>42804</c:v>
                </c:pt>
                <c:pt idx="164">
                  <c:v>42803</c:v>
                </c:pt>
                <c:pt idx="165">
                  <c:v>42802</c:v>
                </c:pt>
                <c:pt idx="166">
                  <c:v>42801</c:v>
                </c:pt>
                <c:pt idx="167">
                  <c:v>42800</c:v>
                </c:pt>
                <c:pt idx="168">
                  <c:v>42797</c:v>
                </c:pt>
                <c:pt idx="169">
                  <c:v>42796</c:v>
                </c:pt>
                <c:pt idx="170">
                  <c:v>42795</c:v>
                </c:pt>
                <c:pt idx="171">
                  <c:v>42794</c:v>
                </c:pt>
                <c:pt idx="172">
                  <c:v>42793</c:v>
                </c:pt>
                <c:pt idx="173">
                  <c:v>42790</c:v>
                </c:pt>
                <c:pt idx="174">
                  <c:v>42789</c:v>
                </c:pt>
                <c:pt idx="175">
                  <c:v>42788</c:v>
                </c:pt>
                <c:pt idx="176">
                  <c:v>42787</c:v>
                </c:pt>
                <c:pt idx="177">
                  <c:v>42783</c:v>
                </c:pt>
                <c:pt idx="178">
                  <c:v>42782</c:v>
                </c:pt>
                <c:pt idx="179">
                  <c:v>42781</c:v>
                </c:pt>
                <c:pt idx="180">
                  <c:v>42780</c:v>
                </c:pt>
                <c:pt idx="181">
                  <c:v>42779</c:v>
                </c:pt>
                <c:pt idx="182">
                  <c:v>42776</c:v>
                </c:pt>
                <c:pt idx="183">
                  <c:v>42775</c:v>
                </c:pt>
                <c:pt idx="184">
                  <c:v>42774</c:v>
                </c:pt>
                <c:pt idx="185">
                  <c:v>42773</c:v>
                </c:pt>
                <c:pt idx="186">
                  <c:v>42772</c:v>
                </c:pt>
                <c:pt idx="187">
                  <c:v>42769</c:v>
                </c:pt>
                <c:pt idx="188">
                  <c:v>42768</c:v>
                </c:pt>
                <c:pt idx="189">
                  <c:v>42767</c:v>
                </c:pt>
                <c:pt idx="190">
                  <c:v>42766</c:v>
                </c:pt>
                <c:pt idx="191">
                  <c:v>42765</c:v>
                </c:pt>
                <c:pt idx="192">
                  <c:v>42762</c:v>
                </c:pt>
                <c:pt idx="193">
                  <c:v>42761</c:v>
                </c:pt>
                <c:pt idx="194">
                  <c:v>42760</c:v>
                </c:pt>
                <c:pt idx="195">
                  <c:v>42759</c:v>
                </c:pt>
                <c:pt idx="196">
                  <c:v>42758</c:v>
                </c:pt>
                <c:pt idx="197">
                  <c:v>42755</c:v>
                </c:pt>
                <c:pt idx="198">
                  <c:v>42754</c:v>
                </c:pt>
                <c:pt idx="199">
                  <c:v>42753</c:v>
                </c:pt>
                <c:pt idx="200">
                  <c:v>42752</c:v>
                </c:pt>
                <c:pt idx="201">
                  <c:v>42748</c:v>
                </c:pt>
                <c:pt idx="202">
                  <c:v>42747</c:v>
                </c:pt>
                <c:pt idx="203">
                  <c:v>42746</c:v>
                </c:pt>
                <c:pt idx="204">
                  <c:v>42745</c:v>
                </c:pt>
                <c:pt idx="205">
                  <c:v>42744</c:v>
                </c:pt>
                <c:pt idx="206">
                  <c:v>42741</c:v>
                </c:pt>
                <c:pt idx="207">
                  <c:v>42740</c:v>
                </c:pt>
                <c:pt idx="208">
                  <c:v>42739</c:v>
                </c:pt>
                <c:pt idx="209">
                  <c:v>42738</c:v>
                </c:pt>
                <c:pt idx="210">
                  <c:v>42734</c:v>
                </c:pt>
                <c:pt idx="211">
                  <c:v>42733</c:v>
                </c:pt>
                <c:pt idx="212">
                  <c:v>42732</c:v>
                </c:pt>
                <c:pt idx="213">
                  <c:v>42731</c:v>
                </c:pt>
                <c:pt idx="214">
                  <c:v>42727</c:v>
                </c:pt>
                <c:pt idx="215">
                  <c:v>42726</c:v>
                </c:pt>
                <c:pt idx="216">
                  <c:v>42725</c:v>
                </c:pt>
                <c:pt idx="217">
                  <c:v>42724</c:v>
                </c:pt>
                <c:pt idx="218">
                  <c:v>42723</c:v>
                </c:pt>
                <c:pt idx="219">
                  <c:v>42720</c:v>
                </c:pt>
                <c:pt idx="220">
                  <c:v>42719</c:v>
                </c:pt>
                <c:pt idx="221">
                  <c:v>42718</c:v>
                </c:pt>
                <c:pt idx="222">
                  <c:v>42717</c:v>
                </c:pt>
                <c:pt idx="223">
                  <c:v>42716</c:v>
                </c:pt>
                <c:pt idx="224">
                  <c:v>42713</c:v>
                </c:pt>
                <c:pt idx="225">
                  <c:v>42712</c:v>
                </c:pt>
                <c:pt idx="226">
                  <c:v>42711</c:v>
                </c:pt>
                <c:pt idx="227">
                  <c:v>42710</c:v>
                </c:pt>
                <c:pt idx="228">
                  <c:v>42709</c:v>
                </c:pt>
                <c:pt idx="229">
                  <c:v>42706</c:v>
                </c:pt>
                <c:pt idx="230">
                  <c:v>42705</c:v>
                </c:pt>
                <c:pt idx="231">
                  <c:v>42704</c:v>
                </c:pt>
                <c:pt idx="232">
                  <c:v>42703</c:v>
                </c:pt>
                <c:pt idx="233">
                  <c:v>42702</c:v>
                </c:pt>
                <c:pt idx="234">
                  <c:v>42699</c:v>
                </c:pt>
                <c:pt idx="235">
                  <c:v>42697</c:v>
                </c:pt>
                <c:pt idx="236">
                  <c:v>42696</c:v>
                </c:pt>
                <c:pt idx="237">
                  <c:v>42695</c:v>
                </c:pt>
                <c:pt idx="238">
                  <c:v>42692</c:v>
                </c:pt>
                <c:pt idx="239">
                  <c:v>42691</c:v>
                </c:pt>
                <c:pt idx="240">
                  <c:v>42690</c:v>
                </c:pt>
                <c:pt idx="241">
                  <c:v>42689</c:v>
                </c:pt>
                <c:pt idx="242">
                  <c:v>42688</c:v>
                </c:pt>
                <c:pt idx="243">
                  <c:v>42685</c:v>
                </c:pt>
                <c:pt idx="244">
                  <c:v>42684</c:v>
                </c:pt>
                <c:pt idx="245">
                  <c:v>42683</c:v>
                </c:pt>
                <c:pt idx="246">
                  <c:v>42682</c:v>
                </c:pt>
                <c:pt idx="247">
                  <c:v>42681</c:v>
                </c:pt>
                <c:pt idx="248">
                  <c:v>42678</c:v>
                </c:pt>
                <c:pt idx="249">
                  <c:v>42677</c:v>
                </c:pt>
                <c:pt idx="250">
                  <c:v>42676</c:v>
                </c:pt>
              </c:numCache>
            </c:numRef>
          </c:cat>
          <c:val>
            <c:numRef>
              <c:f>Trades!$B$4:$B$254</c:f>
              <c:numCache>
                <c:formatCode>General</c:formatCode>
                <c:ptCount val="251"/>
                <c:pt idx="0">
                  <c:v>1015.22</c:v>
                </c:pt>
                <c:pt idx="1">
                  <c:v>1014</c:v>
                </c:pt>
                <c:pt idx="2">
                  <c:v>1009.19</c:v>
                </c:pt>
                <c:pt idx="3">
                  <c:v>980</c:v>
                </c:pt>
                <c:pt idx="4">
                  <c:v>968.37</c:v>
                </c:pt>
                <c:pt idx="5">
                  <c:v>970</c:v>
                </c:pt>
                <c:pt idx="6">
                  <c:v>989.52</c:v>
                </c:pt>
                <c:pt idx="7">
                  <c:v>989.44</c:v>
                </c:pt>
                <c:pt idx="8">
                  <c:v>986</c:v>
                </c:pt>
                <c:pt idx="9">
                  <c:v>991.77</c:v>
                </c:pt>
                <c:pt idx="10">
                  <c:v>990.29</c:v>
                </c:pt>
                <c:pt idx="11">
                  <c:v>992.1</c:v>
                </c:pt>
                <c:pt idx="12">
                  <c:v>992</c:v>
                </c:pt>
                <c:pt idx="13">
                  <c:v>987.45</c:v>
                </c:pt>
                <c:pt idx="14">
                  <c:v>973.72</c:v>
                </c:pt>
                <c:pt idx="15">
                  <c:v>980</c:v>
                </c:pt>
                <c:pt idx="16">
                  <c:v>980</c:v>
                </c:pt>
                <c:pt idx="17">
                  <c:v>966.7</c:v>
                </c:pt>
                <c:pt idx="18">
                  <c:v>955.49</c:v>
                </c:pt>
                <c:pt idx="19">
                  <c:v>957</c:v>
                </c:pt>
                <c:pt idx="20">
                  <c:v>954</c:v>
                </c:pt>
                <c:pt idx="21">
                  <c:v>959.98</c:v>
                </c:pt>
                <c:pt idx="22">
                  <c:v>952</c:v>
                </c:pt>
                <c:pt idx="23">
                  <c:v>941.36</c:v>
                </c:pt>
                <c:pt idx="24">
                  <c:v>927.74</c:v>
                </c:pt>
                <c:pt idx="25">
                  <c:v>923.72</c:v>
                </c:pt>
                <c:pt idx="26">
                  <c:v>925.45</c:v>
                </c:pt>
                <c:pt idx="27">
                  <c:v>927.75</c:v>
                </c:pt>
                <c:pt idx="28">
                  <c:v>933</c:v>
                </c:pt>
                <c:pt idx="29">
                  <c:v>922.98</c:v>
                </c:pt>
                <c:pt idx="30">
                  <c:v>917.42</c:v>
                </c:pt>
                <c:pt idx="31">
                  <c:v>920.01</c:v>
                </c:pt>
                <c:pt idx="32">
                  <c:v>924.66</c:v>
                </c:pt>
                <c:pt idx="33">
                  <c:v>931.25</c:v>
                </c:pt>
                <c:pt idx="34">
                  <c:v>930.66</c:v>
                </c:pt>
                <c:pt idx="35">
                  <c:v>932.59</c:v>
                </c:pt>
                <c:pt idx="36">
                  <c:v>934.25</c:v>
                </c:pt>
                <c:pt idx="37">
                  <c:v>936.49</c:v>
                </c:pt>
                <c:pt idx="38">
                  <c:v>931.73</c:v>
                </c:pt>
                <c:pt idx="39">
                  <c:v>930.15</c:v>
                </c:pt>
                <c:pt idx="40">
                  <c:v>933.08</c:v>
                </c:pt>
                <c:pt idx="41">
                  <c:v>941.13</c:v>
                </c:pt>
                <c:pt idx="42">
                  <c:v>931.76</c:v>
                </c:pt>
                <c:pt idx="43">
                  <c:v>920.05</c:v>
                </c:pt>
                <c:pt idx="44">
                  <c:v>905.1</c:v>
                </c:pt>
                <c:pt idx="45">
                  <c:v>916</c:v>
                </c:pt>
                <c:pt idx="46">
                  <c:v>923.49</c:v>
                </c:pt>
                <c:pt idx="47">
                  <c:v>928.66</c:v>
                </c:pt>
                <c:pt idx="48">
                  <c:v>921.93</c:v>
                </c:pt>
                <c:pt idx="49">
                  <c:v>912.72</c:v>
                </c:pt>
                <c:pt idx="50">
                  <c:v>910</c:v>
                </c:pt>
                <c:pt idx="51">
                  <c:v>910.31</c:v>
                </c:pt>
                <c:pt idx="52">
                  <c:v>925.78</c:v>
                </c:pt>
                <c:pt idx="53">
                  <c:v>925.29</c:v>
                </c:pt>
                <c:pt idx="54">
                  <c:v>924.23</c:v>
                </c:pt>
                <c:pt idx="55">
                  <c:v>922.53</c:v>
                </c:pt>
                <c:pt idx="56">
                  <c:v>907.97</c:v>
                </c:pt>
                <c:pt idx="57">
                  <c:v>917.55</c:v>
                </c:pt>
                <c:pt idx="58">
                  <c:v>920.61</c:v>
                </c:pt>
                <c:pt idx="59">
                  <c:v>927.09</c:v>
                </c:pt>
                <c:pt idx="60">
                  <c:v>929.06</c:v>
                </c:pt>
                <c:pt idx="61">
                  <c:v>926.75</c:v>
                </c:pt>
                <c:pt idx="62">
                  <c:v>930.34</c:v>
                </c:pt>
                <c:pt idx="63">
                  <c:v>928.61</c:v>
                </c:pt>
                <c:pt idx="64">
                  <c:v>932.38</c:v>
                </c:pt>
                <c:pt idx="65">
                  <c:v>941.89</c:v>
                </c:pt>
                <c:pt idx="66">
                  <c:v>929.4</c:v>
                </c:pt>
                <c:pt idx="67">
                  <c:v>951.78</c:v>
                </c:pt>
                <c:pt idx="68">
                  <c:v>954.68</c:v>
                </c:pt>
                <c:pt idx="69">
                  <c:v>953.81</c:v>
                </c:pt>
                <c:pt idx="70">
                  <c:v>972.22</c:v>
                </c:pt>
                <c:pt idx="71">
                  <c:v>962.25</c:v>
                </c:pt>
                <c:pt idx="72">
                  <c:v>975</c:v>
                </c:pt>
                <c:pt idx="73">
                  <c:v>967.84</c:v>
                </c:pt>
                <c:pt idx="74">
                  <c:v>953</c:v>
                </c:pt>
                <c:pt idx="75">
                  <c:v>957</c:v>
                </c:pt>
                <c:pt idx="76">
                  <c:v>952</c:v>
                </c:pt>
                <c:pt idx="77">
                  <c:v>946.29</c:v>
                </c:pt>
                <c:pt idx="78">
                  <c:v>938.68</c:v>
                </c:pt>
                <c:pt idx="79">
                  <c:v>929.54</c:v>
                </c:pt>
                <c:pt idx="80">
                  <c:v>921.77</c:v>
                </c:pt>
                <c:pt idx="81">
                  <c:v>908.85</c:v>
                </c:pt>
                <c:pt idx="82">
                  <c:v>904.12</c:v>
                </c:pt>
                <c:pt idx="83">
                  <c:v>901.76</c:v>
                </c:pt>
                <c:pt idx="84">
                  <c:v>912.18</c:v>
                </c:pt>
                <c:pt idx="85">
                  <c:v>926.05</c:v>
                </c:pt>
                <c:pt idx="86">
                  <c:v>929.92</c:v>
                </c:pt>
                <c:pt idx="87">
                  <c:v>929</c:v>
                </c:pt>
                <c:pt idx="88">
                  <c:v>942.46</c:v>
                </c:pt>
                <c:pt idx="89">
                  <c:v>969.9</c:v>
                </c:pt>
                <c:pt idx="90">
                  <c:v>956.83</c:v>
                </c:pt>
                <c:pt idx="91">
                  <c:v>958.7</c:v>
                </c:pt>
                <c:pt idx="92">
                  <c:v>953.64</c:v>
                </c:pt>
                <c:pt idx="93">
                  <c:v>957.52</c:v>
                </c:pt>
                <c:pt idx="94">
                  <c:v>949.96</c:v>
                </c:pt>
                <c:pt idx="95">
                  <c:v>940</c:v>
                </c:pt>
                <c:pt idx="96">
                  <c:v>933.97</c:v>
                </c:pt>
                <c:pt idx="97">
                  <c:v>959.92</c:v>
                </c:pt>
                <c:pt idx="98">
                  <c:v>951.91</c:v>
                </c:pt>
                <c:pt idx="99">
                  <c:v>939.56</c:v>
                </c:pt>
                <c:pt idx="100">
                  <c:v>984.5</c:v>
                </c:pt>
                <c:pt idx="101">
                  <c:v>982.35</c:v>
                </c:pt>
                <c:pt idx="102">
                  <c:v>979.65</c:v>
                </c:pt>
                <c:pt idx="103">
                  <c:v>983.16</c:v>
                </c:pt>
                <c:pt idx="104">
                  <c:v>976.55</c:v>
                </c:pt>
                <c:pt idx="105">
                  <c:v>969.46</c:v>
                </c:pt>
                <c:pt idx="106">
                  <c:v>968.95</c:v>
                </c:pt>
                <c:pt idx="107">
                  <c:v>975.02</c:v>
                </c:pt>
                <c:pt idx="108">
                  <c:v>970.31</c:v>
                </c:pt>
                <c:pt idx="109">
                  <c:v>969.7</c:v>
                </c:pt>
                <c:pt idx="110">
                  <c:v>957.33</c:v>
                </c:pt>
                <c:pt idx="111">
                  <c:v>952.98</c:v>
                </c:pt>
                <c:pt idx="112">
                  <c:v>947.92</c:v>
                </c:pt>
                <c:pt idx="113">
                  <c:v>935</c:v>
                </c:pt>
                <c:pt idx="114">
                  <c:v>931.47</c:v>
                </c:pt>
                <c:pt idx="115">
                  <c:v>921</c:v>
                </c:pt>
                <c:pt idx="116">
                  <c:v>935.67</c:v>
                </c:pt>
                <c:pt idx="117">
                  <c:v>940</c:v>
                </c:pt>
                <c:pt idx="118">
                  <c:v>932.95</c:v>
                </c:pt>
                <c:pt idx="119">
                  <c:v>931.53</c:v>
                </c:pt>
                <c:pt idx="120">
                  <c:v>925.32</c:v>
                </c:pt>
                <c:pt idx="121">
                  <c:v>931.98</c:v>
                </c:pt>
                <c:pt idx="122">
                  <c:v>936.95</c:v>
                </c:pt>
                <c:pt idx="123">
                  <c:v>926.12</c:v>
                </c:pt>
                <c:pt idx="124">
                  <c:v>933.54</c:v>
                </c:pt>
                <c:pt idx="125">
                  <c:v>926.07</c:v>
                </c:pt>
                <c:pt idx="126">
                  <c:v>914.86</c:v>
                </c:pt>
                <c:pt idx="127">
                  <c:v>909.62</c:v>
                </c:pt>
                <c:pt idx="128">
                  <c:v>901.94</c:v>
                </c:pt>
                <c:pt idx="129">
                  <c:v>910.66</c:v>
                </c:pt>
                <c:pt idx="130">
                  <c:v>873.6</c:v>
                </c:pt>
                <c:pt idx="131">
                  <c:v>874.23</c:v>
                </c:pt>
                <c:pt idx="132">
                  <c:v>865</c:v>
                </c:pt>
                <c:pt idx="133">
                  <c:v>851.2</c:v>
                </c:pt>
                <c:pt idx="134">
                  <c:v>842.88</c:v>
                </c:pt>
                <c:pt idx="135">
                  <c:v>841.44</c:v>
                </c:pt>
                <c:pt idx="136">
                  <c:v>839.79</c:v>
                </c:pt>
                <c:pt idx="137">
                  <c:v>834.22</c:v>
                </c:pt>
                <c:pt idx="138">
                  <c:v>825.01</c:v>
                </c:pt>
                <c:pt idx="139">
                  <c:v>822.14</c:v>
                </c:pt>
                <c:pt idx="140">
                  <c:v>821.93</c:v>
                </c:pt>
                <c:pt idx="141">
                  <c:v>824.71</c:v>
                </c:pt>
                <c:pt idx="142">
                  <c:v>825.39</c:v>
                </c:pt>
                <c:pt idx="143">
                  <c:v>827.96</c:v>
                </c:pt>
                <c:pt idx="144">
                  <c:v>832.4</c:v>
                </c:pt>
                <c:pt idx="145">
                  <c:v>835.51</c:v>
                </c:pt>
                <c:pt idx="146">
                  <c:v>831.36</c:v>
                </c:pt>
                <c:pt idx="147">
                  <c:v>829.22</c:v>
                </c:pt>
                <c:pt idx="148">
                  <c:v>828.97</c:v>
                </c:pt>
                <c:pt idx="149">
                  <c:v>833.5</c:v>
                </c:pt>
                <c:pt idx="150">
                  <c:v>825</c:v>
                </c:pt>
                <c:pt idx="151">
                  <c:v>820.41</c:v>
                </c:pt>
                <c:pt idx="152">
                  <c:v>806.95</c:v>
                </c:pt>
                <c:pt idx="153">
                  <c:v>820.08</c:v>
                </c:pt>
                <c:pt idx="154">
                  <c:v>821</c:v>
                </c:pt>
                <c:pt idx="155">
                  <c:v>831.91</c:v>
                </c:pt>
                <c:pt idx="156">
                  <c:v>851.4</c:v>
                </c:pt>
                <c:pt idx="157">
                  <c:v>850.01</c:v>
                </c:pt>
                <c:pt idx="158">
                  <c:v>851.61</c:v>
                </c:pt>
                <c:pt idx="159">
                  <c:v>849.03</c:v>
                </c:pt>
                <c:pt idx="160">
                  <c:v>847.59</c:v>
                </c:pt>
                <c:pt idx="161">
                  <c:v>843.64</c:v>
                </c:pt>
                <c:pt idx="162">
                  <c:v>844</c:v>
                </c:pt>
                <c:pt idx="163">
                  <c:v>843.28</c:v>
                </c:pt>
                <c:pt idx="164">
                  <c:v>836</c:v>
                </c:pt>
                <c:pt idx="165">
                  <c:v>833.51</c:v>
                </c:pt>
                <c:pt idx="166">
                  <c:v>827.4</c:v>
                </c:pt>
                <c:pt idx="167">
                  <c:v>826.95</c:v>
                </c:pt>
                <c:pt idx="168">
                  <c:v>830.56</c:v>
                </c:pt>
                <c:pt idx="169">
                  <c:v>833.85</c:v>
                </c:pt>
                <c:pt idx="170">
                  <c:v>828.85</c:v>
                </c:pt>
                <c:pt idx="171">
                  <c:v>825.61</c:v>
                </c:pt>
                <c:pt idx="172">
                  <c:v>824.55</c:v>
                </c:pt>
                <c:pt idx="173">
                  <c:v>827.73</c:v>
                </c:pt>
                <c:pt idx="174">
                  <c:v>830.12</c:v>
                </c:pt>
                <c:pt idx="175">
                  <c:v>828.66</c:v>
                </c:pt>
                <c:pt idx="176">
                  <c:v>828.66</c:v>
                </c:pt>
                <c:pt idx="177">
                  <c:v>823.02</c:v>
                </c:pt>
                <c:pt idx="178">
                  <c:v>819.93</c:v>
                </c:pt>
                <c:pt idx="179">
                  <c:v>819.36</c:v>
                </c:pt>
                <c:pt idx="180">
                  <c:v>819</c:v>
                </c:pt>
                <c:pt idx="181">
                  <c:v>816</c:v>
                </c:pt>
                <c:pt idx="182">
                  <c:v>811.7</c:v>
                </c:pt>
                <c:pt idx="183">
                  <c:v>809.51</c:v>
                </c:pt>
                <c:pt idx="184">
                  <c:v>807</c:v>
                </c:pt>
                <c:pt idx="185">
                  <c:v>803.99</c:v>
                </c:pt>
                <c:pt idx="186">
                  <c:v>799.7</c:v>
                </c:pt>
                <c:pt idx="187">
                  <c:v>802.99</c:v>
                </c:pt>
                <c:pt idx="188">
                  <c:v>793.8</c:v>
                </c:pt>
                <c:pt idx="189">
                  <c:v>799.68</c:v>
                </c:pt>
                <c:pt idx="190">
                  <c:v>796.86</c:v>
                </c:pt>
                <c:pt idx="191">
                  <c:v>814.66</c:v>
                </c:pt>
                <c:pt idx="192">
                  <c:v>834.71</c:v>
                </c:pt>
                <c:pt idx="193">
                  <c:v>837.81</c:v>
                </c:pt>
                <c:pt idx="194">
                  <c:v>829.62</c:v>
                </c:pt>
                <c:pt idx="195">
                  <c:v>822.3</c:v>
                </c:pt>
                <c:pt idx="196">
                  <c:v>807.25</c:v>
                </c:pt>
                <c:pt idx="197">
                  <c:v>806.91</c:v>
                </c:pt>
                <c:pt idx="198">
                  <c:v>805.12</c:v>
                </c:pt>
                <c:pt idx="199">
                  <c:v>805.81</c:v>
                </c:pt>
                <c:pt idx="200">
                  <c:v>807.08</c:v>
                </c:pt>
                <c:pt idx="201">
                  <c:v>807.48</c:v>
                </c:pt>
                <c:pt idx="202">
                  <c:v>807.14</c:v>
                </c:pt>
                <c:pt idx="203">
                  <c:v>805</c:v>
                </c:pt>
                <c:pt idx="204">
                  <c:v>807.86</c:v>
                </c:pt>
                <c:pt idx="205">
                  <c:v>806.4</c:v>
                </c:pt>
                <c:pt idx="206">
                  <c:v>795.26</c:v>
                </c:pt>
                <c:pt idx="207">
                  <c:v>786.08</c:v>
                </c:pt>
                <c:pt idx="208">
                  <c:v>788.36</c:v>
                </c:pt>
                <c:pt idx="209">
                  <c:v>778.81</c:v>
                </c:pt>
                <c:pt idx="210">
                  <c:v>782.75</c:v>
                </c:pt>
                <c:pt idx="211">
                  <c:v>783.33</c:v>
                </c:pt>
                <c:pt idx="212">
                  <c:v>793.7</c:v>
                </c:pt>
                <c:pt idx="213">
                  <c:v>790.68</c:v>
                </c:pt>
                <c:pt idx="214">
                  <c:v>790.9</c:v>
                </c:pt>
                <c:pt idx="215">
                  <c:v>792.36</c:v>
                </c:pt>
                <c:pt idx="216">
                  <c:v>795.84</c:v>
                </c:pt>
                <c:pt idx="217">
                  <c:v>796.76</c:v>
                </c:pt>
                <c:pt idx="218">
                  <c:v>790.22</c:v>
                </c:pt>
                <c:pt idx="219">
                  <c:v>800.4</c:v>
                </c:pt>
                <c:pt idx="220">
                  <c:v>797.34</c:v>
                </c:pt>
                <c:pt idx="221">
                  <c:v>797.4</c:v>
                </c:pt>
                <c:pt idx="222">
                  <c:v>793.9</c:v>
                </c:pt>
                <c:pt idx="223">
                  <c:v>785.04</c:v>
                </c:pt>
                <c:pt idx="224">
                  <c:v>780</c:v>
                </c:pt>
                <c:pt idx="225">
                  <c:v>772.48</c:v>
                </c:pt>
                <c:pt idx="226">
                  <c:v>761</c:v>
                </c:pt>
                <c:pt idx="227">
                  <c:v>764.73</c:v>
                </c:pt>
                <c:pt idx="228">
                  <c:v>757.71</c:v>
                </c:pt>
                <c:pt idx="229">
                  <c:v>744.59</c:v>
                </c:pt>
                <c:pt idx="230">
                  <c:v>757.44</c:v>
                </c:pt>
                <c:pt idx="231">
                  <c:v>770.07</c:v>
                </c:pt>
                <c:pt idx="232">
                  <c:v>771.53</c:v>
                </c:pt>
                <c:pt idx="233">
                  <c:v>760</c:v>
                </c:pt>
                <c:pt idx="234">
                  <c:v>764.26</c:v>
                </c:pt>
                <c:pt idx="235">
                  <c:v>767.73</c:v>
                </c:pt>
                <c:pt idx="236">
                  <c:v>772.63</c:v>
                </c:pt>
                <c:pt idx="237">
                  <c:v>762.61</c:v>
                </c:pt>
                <c:pt idx="238">
                  <c:v>771.37</c:v>
                </c:pt>
                <c:pt idx="239">
                  <c:v>766.92</c:v>
                </c:pt>
                <c:pt idx="240">
                  <c:v>755.2</c:v>
                </c:pt>
                <c:pt idx="241">
                  <c:v>746.97</c:v>
                </c:pt>
                <c:pt idx="242">
                  <c:v>755.6</c:v>
                </c:pt>
                <c:pt idx="243">
                  <c:v>756.54</c:v>
                </c:pt>
                <c:pt idx="244">
                  <c:v>791.17</c:v>
                </c:pt>
                <c:pt idx="245">
                  <c:v>779.94</c:v>
                </c:pt>
                <c:pt idx="246">
                  <c:v>783.4</c:v>
                </c:pt>
                <c:pt idx="247">
                  <c:v>774.5</c:v>
                </c:pt>
                <c:pt idx="248">
                  <c:v>750.66</c:v>
                </c:pt>
                <c:pt idx="249">
                  <c:v>767.25</c:v>
                </c:pt>
                <c:pt idx="250">
                  <c:v>778.2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27-4394-9834-F0D6BC8449F9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cat>
            <c:numRef>
              <c:f>Trades!$A$4:$A$254</c:f>
              <c:numCache>
                <c:formatCode>d\-mmm\-yy</c:formatCode>
                <c:ptCount val="251"/>
                <c:pt idx="0">
                  <c:v>43039</c:v>
                </c:pt>
                <c:pt idx="1">
                  <c:v>43038</c:v>
                </c:pt>
                <c:pt idx="2">
                  <c:v>43035</c:v>
                </c:pt>
                <c:pt idx="3">
                  <c:v>43034</c:v>
                </c:pt>
                <c:pt idx="4">
                  <c:v>43033</c:v>
                </c:pt>
                <c:pt idx="5">
                  <c:v>43032</c:v>
                </c:pt>
                <c:pt idx="6">
                  <c:v>43031</c:v>
                </c:pt>
                <c:pt idx="7">
                  <c:v>43028</c:v>
                </c:pt>
                <c:pt idx="8">
                  <c:v>43027</c:v>
                </c:pt>
                <c:pt idx="9">
                  <c:v>43026</c:v>
                </c:pt>
                <c:pt idx="10">
                  <c:v>43025</c:v>
                </c:pt>
                <c:pt idx="11">
                  <c:v>43024</c:v>
                </c:pt>
                <c:pt idx="12">
                  <c:v>43021</c:v>
                </c:pt>
                <c:pt idx="13">
                  <c:v>43020</c:v>
                </c:pt>
                <c:pt idx="14">
                  <c:v>43019</c:v>
                </c:pt>
                <c:pt idx="15">
                  <c:v>43018</c:v>
                </c:pt>
                <c:pt idx="16">
                  <c:v>43017</c:v>
                </c:pt>
                <c:pt idx="17">
                  <c:v>43014</c:v>
                </c:pt>
                <c:pt idx="18">
                  <c:v>43013</c:v>
                </c:pt>
                <c:pt idx="19">
                  <c:v>43012</c:v>
                </c:pt>
                <c:pt idx="20">
                  <c:v>43011</c:v>
                </c:pt>
                <c:pt idx="21">
                  <c:v>43010</c:v>
                </c:pt>
                <c:pt idx="22">
                  <c:v>43007</c:v>
                </c:pt>
                <c:pt idx="23">
                  <c:v>43006</c:v>
                </c:pt>
                <c:pt idx="24">
                  <c:v>43005</c:v>
                </c:pt>
                <c:pt idx="25">
                  <c:v>43004</c:v>
                </c:pt>
                <c:pt idx="26">
                  <c:v>43003</c:v>
                </c:pt>
                <c:pt idx="27">
                  <c:v>43000</c:v>
                </c:pt>
                <c:pt idx="28">
                  <c:v>42999</c:v>
                </c:pt>
                <c:pt idx="29">
                  <c:v>42998</c:v>
                </c:pt>
                <c:pt idx="30">
                  <c:v>42997</c:v>
                </c:pt>
                <c:pt idx="31">
                  <c:v>42996</c:v>
                </c:pt>
                <c:pt idx="32">
                  <c:v>42993</c:v>
                </c:pt>
                <c:pt idx="33">
                  <c:v>42992</c:v>
                </c:pt>
                <c:pt idx="34">
                  <c:v>42991</c:v>
                </c:pt>
                <c:pt idx="35">
                  <c:v>42990</c:v>
                </c:pt>
                <c:pt idx="36">
                  <c:v>42989</c:v>
                </c:pt>
                <c:pt idx="37">
                  <c:v>42986</c:v>
                </c:pt>
                <c:pt idx="38">
                  <c:v>42985</c:v>
                </c:pt>
                <c:pt idx="39">
                  <c:v>42984</c:v>
                </c:pt>
                <c:pt idx="40">
                  <c:v>42983</c:v>
                </c:pt>
                <c:pt idx="41">
                  <c:v>42979</c:v>
                </c:pt>
                <c:pt idx="42">
                  <c:v>42978</c:v>
                </c:pt>
                <c:pt idx="43">
                  <c:v>42977</c:v>
                </c:pt>
                <c:pt idx="44">
                  <c:v>42976</c:v>
                </c:pt>
                <c:pt idx="45">
                  <c:v>42975</c:v>
                </c:pt>
                <c:pt idx="46">
                  <c:v>42972</c:v>
                </c:pt>
                <c:pt idx="47">
                  <c:v>42971</c:v>
                </c:pt>
                <c:pt idx="48">
                  <c:v>42970</c:v>
                </c:pt>
                <c:pt idx="49">
                  <c:v>42969</c:v>
                </c:pt>
                <c:pt idx="50">
                  <c:v>42968</c:v>
                </c:pt>
                <c:pt idx="51">
                  <c:v>42965</c:v>
                </c:pt>
                <c:pt idx="52">
                  <c:v>42964</c:v>
                </c:pt>
                <c:pt idx="53">
                  <c:v>42963</c:v>
                </c:pt>
                <c:pt idx="54">
                  <c:v>42962</c:v>
                </c:pt>
                <c:pt idx="55">
                  <c:v>42961</c:v>
                </c:pt>
                <c:pt idx="56">
                  <c:v>42958</c:v>
                </c:pt>
                <c:pt idx="57">
                  <c:v>42957</c:v>
                </c:pt>
                <c:pt idx="58">
                  <c:v>42956</c:v>
                </c:pt>
                <c:pt idx="59">
                  <c:v>42955</c:v>
                </c:pt>
                <c:pt idx="60">
                  <c:v>42954</c:v>
                </c:pt>
                <c:pt idx="61">
                  <c:v>42951</c:v>
                </c:pt>
                <c:pt idx="62">
                  <c:v>42950</c:v>
                </c:pt>
                <c:pt idx="63">
                  <c:v>42949</c:v>
                </c:pt>
                <c:pt idx="64">
                  <c:v>42948</c:v>
                </c:pt>
                <c:pt idx="65">
                  <c:v>42947</c:v>
                </c:pt>
                <c:pt idx="66">
                  <c:v>42944</c:v>
                </c:pt>
                <c:pt idx="67">
                  <c:v>42943</c:v>
                </c:pt>
                <c:pt idx="68">
                  <c:v>42942</c:v>
                </c:pt>
                <c:pt idx="69">
                  <c:v>42941</c:v>
                </c:pt>
                <c:pt idx="70">
                  <c:v>42940</c:v>
                </c:pt>
                <c:pt idx="71">
                  <c:v>42937</c:v>
                </c:pt>
                <c:pt idx="72">
                  <c:v>42936</c:v>
                </c:pt>
                <c:pt idx="73">
                  <c:v>42935</c:v>
                </c:pt>
                <c:pt idx="74">
                  <c:v>42934</c:v>
                </c:pt>
                <c:pt idx="75">
                  <c:v>42933</c:v>
                </c:pt>
                <c:pt idx="76">
                  <c:v>42930</c:v>
                </c:pt>
                <c:pt idx="77">
                  <c:v>42929</c:v>
                </c:pt>
                <c:pt idx="78">
                  <c:v>42928</c:v>
                </c:pt>
                <c:pt idx="79">
                  <c:v>42927</c:v>
                </c:pt>
                <c:pt idx="80">
                  <c:v>42926</c:v>
                </c:pt>
                <c:pt idx="81">
                  <c:v>42923</c:v>
                </c:pt>
                <c:pt idx="82">
                  <c:v>42922</c:v>
                </c:pt>
                <c:pt idx="83">
                  <c:v>42921</c:v>
                </c:pt>
                <c:pt idx="84">
                  <c:v>42919</c:v>
                </c:pt>
                <c:pt idx="85">
                  <c:v>42916</c:v>
                </c:pt>
                <c:pt idx="86">
                  <c:v>42915</c:v>
                </c:pt>
                <c:pt idx="87">
                  <c:v>42914</c:v>
                </c:pt>
                <c:pt idx="88">
                  <c:v>42913</c:v>
                </c:pt>
                <c:pt idx="89">
                  <c:v>42912</c:v>
                </c:pt>
                <c:pt idx="90">
                  <c:v>42909</c:v>
                </c:pt>
                <c:pt idx="91">
                  <c:v>42908</c:v>
                </c:pt>
                <c:pt idx="92">
                  <c:v>42907</c:v>
                </c:pt>
                <c:pt idx="93">
                  <c:v>42906</c:v>
                </c:pt>
                <c:pt idx="94">
                  <c:v>42905</c:v>
                </c:pt>
                <c:pt idx="95">
                  <c:v>42902</c:v>
                </c:pt>
                <c:pt idx="96">
                  <c:v>42901</c:v>
                </c:pt>
                <c:pt idx="97">
                  <c:v>42900</c:v>
                </c:pt>
                <c:pt idx="98">
                  <c:v>42899</c:v>
                </c:pt>
                <c:pt idx="99">
                  <c:v>42898</c:v>
                </c:pt>
                <c:pt idx="100">
                  <c:v>42895</c:v>
                </c:pt>
                <c:pt idx="101">
                  <c:v>42894</c:v>
                </c:pt>
                <c:pt idx="102">
                  <c:v>42893</c:v>
                </c:pt>
                <c:pt idx="103">
                  <c:v>42892</c:v>
                </c:pt>
                <c:pt idx="104">
                  <c:v>42891</c:v>
                </c:pt>
                <c:pt idx="105">
                  <c:v>42888</c:v>
                </c:pt>
                <c:pt idx="106">
                  <c:v>42887</c:v>
                </c:pt>
                <c:pt idx="107">
                  <c:v>42886</c:v>
                </c:pt>
                <c:pt idx="108">
                  <c:v>42885</c:v>
                </c:pt>
                <c:pt idx="109">
                  <c:v>42881</c:v>
                </c:pt>
                <c:pt idx="110">
                  <c:v>42880</c:v>
                </c:pt>
                <c:pt idx="111">
                  <c:v>42879</c:v>
                </c:pt>
                <c:pt idx="112">
                  <c:v>42878</c:v>
                </c:pt>
                <c:pt idx="113">
                  <c:v>42877</c:v>
                </c:pt>
                <c:pt idx="114">
                  <c:v>42874</c:v>
                </c:pt>
                <c:pt idx="115">
                  <c:v>42873</c:v>
                </c:pt>
                <c:pt idx="116">
                  <c:v>42872</c:v>
                </c:pt>
                <c:pt idx="117">
                  <c:v>42871</c:v>
                </c:pt>
                <c:pt idx="118">
                  <c:v>42870</c:v>
                </c:pt>
                <c:pt idx="119">
                  <c:v>42867</c:v>
                </c:pt>
                <c:pt idx="120">
                  <c:v>42866</c:v>
                </c:pt>
                <c:pt idx="121">
                  <c:v>42865</c:v>
                </c:pt>
                <c:pt idx="122">
                  <c:v>42864</c:v>
                </c:pt>
                <c:pt idx="123">
                  <c:v>42863</c:v>
                </c:pt>
                <c:pt idx="124">
                  <c:v>42860</c:v>
                </c:pt>
                <c:pt idx="125">
                  <c:v>42859</c:v>
                </c:pt>
                <c:pt idx="126">
                  <c:v>42858</c:v>
                </c:pt>
                <c:pt idx="127">
                  <c:v>42857</c:v>
                </c:pt>
                <c:pt idx="128">
                  <c:v>42856</c:v>
                </c:pt>
                <c:pt idx="129">
                  <c:v>42853</c:v>
                </c:pt>
                <c:pt idx="130">
                  <c:v>42852</c:v>
                </c:pt>
                <c:pt idx="131">
                  <c:v>42851</c:v>
                </c:pt>
                <c:pt idx="132">
                  <c:v>42850</c:v>
                </c:pt>
                <c:pt idx="133">
                  <c:v>42849</c:v>
                </c:pt>
                <c:pt idx="134">
                  <c:v>42846</c:v>
                </c:pt>
                <c:pt idx="135">
                  <c:v>42845</c:v>
                </c:pt>
                <c:pt idx="136">
                  <c:v>42844</c:v>
                </c:pt>
                <c:pt idx="137">
                  <c:v>42843</c:v>
                </c:pt>
                <c:pt idx="138">
                  <c:v>42842</c:v>
                </c:pt>
                <c:pt idx="139">
                  <c:v>42838</c:v>
                </c:pt>
                <c:pt idx="140">
                  <c:v>42837</c:v>
                </c:pt>
                <c:pt idx="141">
                  <c:v>42836</c:v>
                </c:pt>
                <c:pt idx="142">
                  <c:v>42835</c:v>
                </c:pt>
                <c:pt idx="143">
                  <c:v>42832</c:v>
                </c:pt>
                <c:pt idx="144">
                  <c:v>42831</c:v>
                </c:pt>
                <c:pt idx="145">
                  <c:v>42830</c:v>
                </c:pt>
                <c:pt idx="146">
                  <c:v>42829</c:v>
                </c:pt>
                <c:pt idx="147">
                  <c:v>42828</c:v>
                </c:pt>
                <c:pt idx="148">
                  <c:v>42825</c:v>
                </c:pt>
                <c:pt idx="149">
                  <c:v>42824</c:v>
                </c:pt>
                <c:pt idx="150">
                  <c:v>42823</c:v>
                </c:pt>
                <c:pt idx="151">
                  <c:v>42822</c:v>
                </c:pt>
                <c:pt idx="152">
                  <c:v>42821</c:v>
                </c:pt>
                <c:pt idx="153">
                  <c:v>42818</c:v>
                </c:pt>
                <c:pt idx="154">
                  <c:v>42817</c:v>
                </c:pt>
                <c:pt idx="155">
                  <c:v>42816</c:v>
                </c:pt>
                <c:pt idx="156">
                  <c:v>42815</c:v>
                </c:pt>
                <c:pt idx="157">
                  <c:v>42814</c:v>
                </c:pt>
                <c:pt idx="158">
                  <c:v>42811</c:v>
                </c:pt>
                <c:pt idx="159">
                  <c:v>42810</c:v>
                </c:pt>
                <c:pt idx="160">
                  <c:v>42809</c:v>
                </c:pt>
                <c:pt idx="161">
                  <c:v>42808</c:v>
                </c:pt>
                <c:pt idx="162">
                  <c:v>42807</c:v>
                </c:pt>
                <c:pt idx="163">
                  <c:v>42804</c:v>
                </c:pt>
                <c:pt idx="164">
                  <c:v>42803</c:v>
                </c:pt>
                <c:pt idx="165">
                  <c:v>42802</c:v>
                </c:pt>
                <c:pt idx="166">
                  <c:v>42801</c:v>
                </c:pt>
                <c:pt idx="167">
                  <c:v>42800</c:v>
                </c:pt>
                <c:pt idx="168">
                  <c:v>42797</c:v>
                </c:pt>
                <c:pt idx="169">
                  <c:v>42796</c:v>
                </c:pt>
                <c:pt idx="170">
                  <c:v>42795</c:v>
                </c:pt>
                <c:pt idx="171">
                  <c:v>42794</c:v>
                </c:pt>
                <c:pt idx="172">
                  <c:v>42793</c:v>
                </c:pt>
                <c:pt idx="173">
                  <c:v>42790</c:v>
                </c:pt>
                <c:pt idx="174">
                  <c:v>42789</c:v>
                </c:pt>
                <c:pt idx="175">
                  <c:v>42788</c:v>
                </c:pt>
                <c:pt idx="176">
                  <c:v>42787</c:v>
                </c:pt>
                <c:pt idx="177">
                  <c:v>42783</c:v>
                </c:pt>
                <c:pt idx="178">
                  <c:v>42782</c:v>
                </c:pt>
                <c:pt idx="179">
                  <c:v>42781</c:v>
                </c:pt>
                <c:pt idx="180">
                  <c:v>42780</c:v>
                </c:pt>
                <c:pt idx="181">
                  <c:v>42779</c:v>
                </c:pt>
                <c:pt idx="182">
                  <c:v>42776</c:v>
                </c:pt>
                <c:pt idx="183">
                  <c:v>42775</c:v>
                </c:pt>
                <c:pt idx="184">
                  <c:v>42774</c:v>
                </c:pt>
                <c:pt idx="185">
                  <c:v>42773</c:v>
                </c:pt>
                <c:pt idx="186">
                  <c:v>42772</c:v>
                </c:pt>
                <c:pt idx="187">
                  <c:v>42769</c:v>
                </c:pt>
                <c:pt idx="188">
                  <c:v>42768</c:v>
                </c:pt>
                <c:pt idx="189">
                  <c:v>42767</c:v>
                </c:pt>
                <c:pt idx="190">
                  <c:v>42766</c:v>
                </c:pt>
                <c:pt idx="191">
                  <c:v>42765</c:v>
                </c:pt>
                <c:pt idx="192">
                  <c:v>42762</c:v>
                </c:pt>
                <c:pt idx="193">
                  <c:v>42761</c:v>
                </c:pt>
                <c:pt idx="194">
                  <c:v>42760</c:v>
                </c:pt>
                <c:pt idx="195">
                  <c:v>42759</c:v>
                </c:pt>
                <c:pt idx="196">
                  <c:v>42758</c:v>
                </c:pt>
                <c:pt idx="197">
                  <c:v>42755</c:v>
                </c:pt>
                <c:pt idx="198">
                  <c:v>42754</c:v>
                </c:pt>
                <c:pt idx="199">
                  <c:v>42753</c:v>
                </c:pt>
                <c:pt idx="200">
                  <c:v>42752</c:v>
                </c:pt>
                <c:pt idx="201">
                  <c:v>42748</c:v>
                </c:pt>
                <c:pt idx="202">
                  <c:v>42747</c:v>
                </c:pt>
                <c:pt idx="203">
                  <c:v>42746</c:v>
                </c:pt>
                <c:pt idx="204">
                  <c:v>42745</c:v>
                </c:pt>
                <c:pt idx="205">
                  <c:v>42744</c:v>
                </c:pt>
                <c:pt idx="206">
                  <c:v>42741</c:v>
                </c:pt>
                <c:pt idx="207">
                  <c:v>42740</c:v>
                </c:pt>
                <c:pt idx="208">
                  <c:v>42739</c:v>
                </c:pt>
                <c:pt idx="209">
                  <c:v>42738</c:v>
                </c:pt>
                <c:pt idx="210">
                  <c:v>42734</c:v>
                </c:pt>
                <c:pt idx="211">
                  <c:v>42733</c:v>
                </c:pt>
                <c:pt idx="212">
                  <c:v>42732</c:v>
                </c:pt>
                <c:pt idx="213">
                  <c:v>42731</c:v>
                </c:pt>
                <c:pt idx="214">
                  <c:v>42727</c:v>
                </c:pt>
                <c:pt idx="215">
                  <c:v>42726</c:v>
                </c:pt>
                <c:pt idx="216">
                  <c:v>42725</c:v>
                </c:pt>
                <c:pt idx="217">
                  <c:v>42724</c:v>
                </c:pt>
                <c:pt idx="218">
                  <c:v>42723</c:v>
                </c:pt>
                <c:pt idx="219">
                  <c:v>42720</c:v>
                </c:pt>
                <c:pt idx="220">
                  <c:v>42719</c:v>
                </c:pt>
                <c:pt idx="221">
                  <c:v>42718</c:v>
                </c:pt>
                <c:pt idx="222">
                  <c:v>42717</c:v>
                </c:pt>
                <c:pt idx="223">
                  <c:v>42716</c:v>
                </c:pt>
                <c:pt idx="224">
                  <c:v>42713</c:v>
                </c:pt>
                <c:pt idx="225">
                  <c:v>42712</c:v>
                </c:pt>
                <c:pt idx="226">
                  <c:v>42711</c:v>
                </c:pt>
                <c:pt idx="227">
                  <c:v>42710</c:v>
                </c:pt>
                <c:pt idx="228">
                  <c:v>42709</c:v>
                </c:pt>
                <c:pt idx="229">
                  <c:v>42706</c:v>
                </c:pt>
                <c:pt idx="230">
                  <c:v>42705</c:v>
                </c:pt>
                <c:pt idx="231">
                  <c:v>42704</c:v>
                </c:pt>
                <c:pt idx="232">
                  <c:v>42703</c:v>
                </c:pt>
                <c:pt idx="233">
                  <c:v>42702</c:v>
                </c:pt>
                <c:pt idx="234">
                  <c:v>42699</c:v>
                </c:pt>
                <c:pt idx="235">
                  <c:v>42697</c:v>
                </c:pt>
                <c:pt idx="236">
                  <c:v>42696</c:v>
                </c:pt>
                <c:pt idx="237">
                  <c:v>42695</c:v>
                </c:pt>
                <c:pt idx="238">
                  <c:v>42692</c:v>
                </c:pt>
                <c:pt idx="239">
                  <c:v>42691</c:v>
                </c:pt>
                <c:pt idx="240">
                  <c:v>42690</c:v>
                </c:pt>
                <c:pt idx="241">
                  <c:v>42689</c:v>
                </c:pt>
                <c:pt idx="242">
                  <c:v>42688</c:v>
                </c:pt>
                <c:pt idx="243">
                  <c:v>42685</c:v>
                </c:pt>
                <c:pt idx="244">
                  <c:v>42684</c:v>
                </c:pt>
                <c:pt idx="245">
                  <c:v>42683</c:v>
                </c:pt>
                <c:pt idx="246">
                  <c:v>42682</c:v>
                </c:pt>
                <c:pt idx="247">
                  <c:v>42681</c:v>
                </c:pt>
                <c:pt idx="248">
                  <c:v>42678</c:v>
                </c:pt>
                <c:pt idx="249">
                  <c:v>42677</c:v>
                </c:pt>
                <c:pt idx="250">
                  <c:v>42676</c:v>
                </c:pt>
              </c:numCache>
            </c:numRef>
          </c:cat>
          <c:val>
            <c:numRef>
              <c:f>Trades!$C$4:$C$254</c:f>
              <c:numCache>
                <c:formatCode>General</c:formatCode>
                <c:ptCount val="251"/>
                <c:pt idx="0">
                  <c:v>1024</c:v>
                </c:pt>
                <c:pt idx="1">
                  <c:v>1024.97</c:v>
                </c:pt>
                <c:pt idx="2">
                  <c:v>1048.3900000000001</c:v>
                </c:pt>
                <c:pt idx="3">
                  <c:v>987.6</c:v>
                </c:pt>
                <c:pt idx="4">
                  <c:v>976.09</c:v>
                </c:pt>
                <c:pt idx="5">
                  <c:v>972.23</c:v>
                </c:pt>
                <c:pt idx="6">
                  <c:v>989.52</c:v>
                </c:pt>
                <c:pt idx="7">
                  <c:v>991</c:v>
                </c:pt>
                <c:pt idx="8">
                  <c:v>988.88</c:v>
                </c:pt>
                <c:pt idx="9">
                  <c:v>996.72</c:v>
                </c:pt>
                <c:pt idx="10">
                  <c:v>996.44</c:v>
                </c:pt>
                <c:pt idx="11">
                  <c:v>993.91</c:v>
                </c:pt>
                <c:pt idx="12">
                  <c:v>997.21</c:v>
                </c:pt>
                <c:pt idx="13">
                  <c:v>994.12</c:v>
                </c:pt>
                <c:pt idx="14">
                  <c:v>990.71</c:v>
                </c:pt>
                <c:pt idx="15">
                  <c:v>981.57</c:v>
                </c:pt>
                <c:pt idx="16">
                  <c:v>985.42</c:v>
                </c:pt>
                <c:pt idx="17">
                  <c:v>979.46</c:v>
                </c:pt>
                <c:pt idx="18">
                  <c:v>970.91</c:v>
                </c:pt>
                <c:pt idx="19">
                  <c:v>960.39</c:v>
                </c:pt>
                <c:pt idx="20">
                  <c:v>958</c:v>
                </c:pt>
                <c:pt idx="21">
                  <c:v>962.54</c:v>
                </c:pt>
                <c:pt idx="22">
                  <c:v>959.79</c:v>
                </c:pt>
                <c:pt idx="23">
                  <c:v>950.69</c:v>
                </c:pt>
                <c:pt idx="24">
                  <c:v>949.9</c:v>
                </c:pt>
                <c:pt idx="25">
                  <c:v>930.82</c:v>
                </c:pt>
                <c:pt idx="26">
                  <c:v>926.4</c:v>
                </c:pt>
                <c:pt idx="27">
                  <c:v>934.73</c:v>
                </c:pt>
                <c:pt idx="28">
                  <c:v>936.53</c:v>
                </c:pt>
                <c:pt idx="29">
                  <c:v>933.88</c:v>
                </c:pt>
                <c:pt idx="30">
                  <c:v>922.42</c:v>
                </c:pt>
                <c:pt idx="31">
                  <c:v>922.08</c:v>
                </c:pt>
                <c:pt idx="32">
                  <c:v>926.49</c:v>
                </c:pt>
                <c:pt idx="33">
                  <c:v>932.77</c:v>
                </c:pt>
                <c:pt idx="34">
                  <c:v>937.25</c:v>
                </c:pt>
                <c:pt idx="35">
                  <c:v>933.48</c:v>
                </c:pt>
                <c:pt idx="36">
                  <c:v>938.38</c:v>
                </c:pt>
                <c:pt idx="37">
                  <c:v>936.99</c:v>
                </c:pt>
                <c:pt idx="38">
                  <c:v>936.41</c:v>
                </c:pt>
                <c:pt idx="39">
                  <c:v>930.92</c:v>
                </c:pt>
                <c:pt idx="40">
                  <c:v>937</c:v>
                </c:pt>
                <c:pt idx="41">
                  <c:v>942.48</c:v>
                </c:pt>
                <c:pt idx="42">
                  <c:v>941.98</c:v>
                </c:pt>
                <c:pt idx="43">
                  <c:v>930.82</c:v>
                </c:pt>
                <c:pt idx="44">
                  <c:v>923.33</c:v>
                </c:pt>
                <c:pt idx="45">
                  <c:v>919.24</c:v>
                </c:pt>
                <c:pt idx="46">
                  <c:v>925.56</c:v>
                </c:pt>
                <c:pt idx="47">
                  <c:v>930.84</c:v>
                </c:pt>
                <c:pt idx="48">
                  <c:v>929.93</c:v>
                </c:pt>
                <c:pt idx="49">
                  <c:v>925.86</c:v>
                </c:pt>
                <c:pt idx="50">
                  <c:v>913</c:v>
                </c:pt>
                <c:pt idx="51">
                  <c:v>915.28</c:v>
                </c:pt>
                <c:pt idx="52">
                  <c:v>926.86</c:v>
                </c:pt>
                <c:pt idx="53">
                  <c:v>932.7</c:v>
                </c:pt>
                <c:pt idx="54">
                  <c:v>926.55</c:v>
                </c:pt>
                <c:pt idx="55">
                  <c:v>924.67</c:v>
                </c:pt>
                <c:pt idx="56">
                  <c:v>917.78</c:v>
                </c:pt>
                <c:pt idx="57">
                  <c:v>919.26</c:v>
                </c:pt>
                <c:pt idx="58">
                  <c:v>925.98</c:v>
                </c:pt>
                <c:pt idx="59">
                  <c:v>935.81</c:v>
                </c:pt>
                <c:pt idx="60">
                  <c:v>931.7</c:v>
                </c:pt>
                <c:pt idx="61">
                  <c:v>930.31</c:v>
                </c:pt>
                <c:pt idx="62">
                  <c:v>932.24</c:v>
                </c:pt>
                <c:pt idx="63">
                  <c:v>932.6</c:v>
                </c:pt>
                <c:pt idx="64">
                  <c:v>937.45</c:v>
                </c:pt>
                <c:pt idx="65">
                  <c:v>943.59</c:v>
                </c:pt>
                <c:pt idx="66">
                  <c:v>943.83</c:v>
                </c:pt>
                <c:pt idx="67">
                  <c:v>951.78</c:v>
                </c:pt>
                <c:pt idx="68">
                  <c:v>955</c:v>
                </c:pt>
                <c:pt idx="69">
                  <c:v>959.7</c:v>
                </c:pt>
                <c:pt idx="70">
                  <c:v>986.2</c:v>
                </c:pt>
                <c:pt idx="71">
                  <c:v>973.23</c:v>
                </c:pt>
                <c:pt idx="72">
                  <c:v>975.9</c:v>
                </c:pt>
                <c:pt idx="73">
                  <c:v>973.04</c:v>
                </c:pt>
                <c:pt idx="74">
                  <c:v>968.04</c:v>
                </c:pt>
                <c:pt idx="75">
                  <c:v>960.74</c:v>
                </c:pt>
                <c:pt idx="76">
                  <c:v>956.91</c:v>
                </c:pt>
                <c:pt idx="77">
                  <c:v>954.45</c:v>
                </c:pt>
                <c:pt idx="78">
                  <c:v>946.3</c:v>
                </c:pt>
                <c:pt idx="79">
                  <c:v>931.43</c:v>
                </c:pt>
                <c:pt idx="80">
                  <c:v>930.38</c:v>
                </c:pt>
                <c:pt idx="81">
                  <c:v>921.54</c:v>
                </c:pt>
                <c:pt idx="82">
                  <c:v>914.94</c:v>
                </c:pt>
                <c:pt idx="83">
                  <c:v>914.51</c:v>
                </c:pt>
                <c:pt idx="84">
                  <c:v>913.94</c:v>
                </c:pt>
                <c:pt idx="85">
                  <c:v>926.05</c:v>
                </c:pt>
                <c:pt idx="86">
                  <c:v>931.26</c:v>
                </c:pt>
                <c:pt idx="87">
                  <c:v>942.75</c:v>
                </c:pt>
                <c:pt idx="88">
                  <c:v>948.29</c:v>
                </c:pt>
                <c:pt idx="89">
                  <c:v>973.31</c:v>
                </c:pt>
                <c:pt idx="90">
                  <c:v>966</c:v>
                </c:pt>
                <c:pt idx="91">
                  <c:v>960.72</c:v>
                </c:pt>
                <c:pt idx="92">
                  <c:v>960.1</c:v>
                </c:pt>
                <c:pt idx="93">
                  <c:v>961.62</c:v>
                </c:pt>
                <c:pt idx="94">
                  <c:v>959.99</c:v>
                </c:pt>
                <c:pt idx="95">
                  <c:v>942.04</c:v>
                </c:pt>
                <c:pt idx="96">
                  <c:v>943.34</c:v>
                </c:pt>
                <c:pt idx="97">
                  <c:v>961.15</c:v>
                </c:pt>
                <c:pt idx="98">
                  <c:v>959.98</c:v>
                </c:pt>
                <c:pt idx="99">
                  <c:v>949.36</c:v>
                </c:pt>
                <c:pt idx="100">
                  <c:v>984.5</c:v>
                </c:pt>
                <c:pt idx="101">
                  <c:v>984.57</c:v>
                </c:pt>
                <c:pt idx="102">
                  <c:v>984.15</c:v>
                </c:pt>
                <c:pt idx="103">
                  <c:v>988.25</c:v>
                </c:pt>
                <c:pt idx="104">
                  <c:v>986.91</c:v>
                </c:pt>
                <c:pt idx="105">
                  <c:v>975.88</c:v>
                </c:pt>
                <c:pt idx="106">
                  <c:v>971.5</c:v>
                </c:pt>
                <c:pt idx="107">
                  <c:v>979.27</c:v>
                </c:pt>
                <c:pt idx="108">
                  <c:v>976.2</c:v>
                </c:pt>
                <c:pt idx="109">
                  <c:v>974.98</c:v>
                </c:pt>
                <c:pt idx="110">
                  <c:v>972.63</c:v>
                </c:pt>
                <c:pt idx="111">
                  <c:v>955.09</c:v>
                </c:pt>
                <c:pt idx="112">
                  <c:v>951.47</c:v>
                </c:pt>
                <c:pt idx="113">
                  <c:v>941.88</c:v>
                </c:pt>
                <c:pt idx="114">
                  <c:v>937.76</c:v>
                </c:pt>
                <c:pt idx="115">
                  <c:v>933.17</c:v>
                </c:pt>
                <c:pt idx="116">
                  <c:v>939.33</c:v>
                </c:pt>
                <c:pt idx="117">
                  <c:v>943.11</c:v>
                </c:pt>
                <c:pt idx="118">
                  <c:v>938.25</c:v>
                </c:pt>
                <c:pt idx="119">
                  <c:v>933.44</c:v>
                </c:pt>
                <c:pt idx="120">
                  <c:v>932.53</c:v>
                </c:pt>
                <c:pt idx="121">
                  <c:v>932</c:v>
                </c:pt>
                <c:pt idx="122">
                  <c:v>937.5</c:v>
                </c:pt>
                <c:pt idx="123">
                  <c:v>936.92</c:v>
                </c:pt>
                <c:pt idx="124">
                  <c:v>934.9</c:v>
                </c:pt>
                <c:pt idx="125">
                  <c:v>935.93</c:v>
                </c:pt>
                <c:pt idx="126">
                  <c:v>928.1</c:v>
                </c:pt>
                <c:pt idx="127">
                  <c:v>920.77</c:v>
                </c:pt>
                <c:pt idx="128">
                  <c:v>915.68</c:v>
                </c:pt>
                <c:pt idx="129">
                  <c:v>916.85</c:v>
                </c:pt>
                <c:pt idx="130">
                  <c:v>875.4</c:v>
                </c:pt>
                <c:pt idx="131">
                  <c:v>876.05</c:v>
                </c:pt>
                <c:pt idx="132">
                  <c:v>875</c:v>
                </c:pt>
                <c:pt idx="133">
                  <c:v>863.45</c:v>
                </c:pt>
                <c:pt idx="134">
                  <c:v>843.88</c:v>
                </c:pt>
                <c:pt idx="135">
                  <c:v>845.2</c:v>
                </c:pt>
                <c:pt idx="136">
                  <c:v>842.22</c:v>
                </c:pt>
                <c:pt idx="137">
                  <c:v>838.93</c:v>
                </c:pt>
                <c:pt idx="138">
                  <c:v>837.75</c:v>
                </c:pt>
                <c:pt idx="139">
                  <c:v>826.38</c:v>
                </c:pt>
                <c:pt idx="140">
                  <c:v>826.66</c:v>
                </c:pt>
                <c:pt idx="141">
                  <c:v>827.43</c:v>
                </c:pt>
                <c:pt idx="142">
                  <c:v>829.35</c:v>
                </c:pt>
                <c:pt idx="143">
                  <c:v>828.48</c:v>
                </c:pt>
                <c:pt idx="144">
                  <c:v>836.39</c:v>
                </c:pt>
                <c:pt idx="145">
                  <c:v>842.45</c:v>
                </c:pt>
                <c:pt idx="146">
                  <c:v>835.18</c:v>
                </c:pt>
                <c:pt idx="147">
                  <c:v>840.85</c:v>
                </c:pt>
                <c:pt idx="148">
                  <c:v>831.64</c:v>
                </c:pt>
                <c:pt idx="149">
                  <c:v>833.68</c:v>
                </c:pt>
                <c:pt idx="150">
                  <c:v>832.76</c:v>
                </c:pt>
                <c:pt idx="151">
                  <c:v>825.99</c:v>
                </c:pt>
                <c:pt idx="152">
                  <c:v>821.63</c:v>
                </c:pt>
                <c:pt idx="153">
                  <c:v>821.93</c:v>
                </c:pt>
                <c:pt idx="154">
                  <c:v>822.57</c:v>
                </c:pt>
                <c:pt idx="155">
                  <c:v>835.55</c:v>
                </c:pt>
                <c:pt idx="156">
                  <c:v>853.5</c:v>
                </c:pt>
                <c:pt idx="157">
                  <c:v>850.22</c:v>
                </c:pt>
                <c:pt idx="158">
                  <c:v>853.4</c:v>
                </c:pt>
                <c:pt idx="159">
                  <c:v>850.85</c:v>
                </c:pt>
                <c:pt idx="160">
                  <c:v>848.63</c:v>
                </c:pt>
                <c:pt idx="161">
                  <c:v>847.24</c:v>
                </c:pt>
                <c:pt idx="162">
                  <c:v>848.68</c:v>
                </c:pt>
                <c:pt idx="163">
                  <c:v>844.91</c:v>
                </c:pt>
                <c:pt idx="164">
                  <c:v>842</c:v>
                </c:pt>
                <c:pt idx="165">
                  <c:v>838.15</c:v>
                </c:pt>
                <c:pt idx="166">
                  <c:v>833.41</c:v>
                </c:pt>
                <c:pt idx="167">
                  <c:v>828.88</c:v>
                </c:pt>
                <c:pt idx="168">
                  <c:v>831.36</c:v>
                </c:pt>
                <c:pt idx="169">
                  <c:v>834.51</c:v>
                </c:pt>
                <c:pt idx="170">
                  <c:v>836.26</c:v>
                </c:pt>
                <c:pt idx="171">
                  <c:v>828.54</c:v>
                </c:pt>
                <c:pt idx="172">
                  <c:v>830.5</c:v>
                </c:pt>
                <c:pt idx="173">
                  <c:v>829</c:v>
                </c:pt>
                <c:pt idx="174">
                  <c:v>832.46</c:v>
                </c:pt>
                <c:pt idx="175">
                  <c:v>833.25</c:v>
                </c:pt>
                <c:pt idx="176">
                  <c:v>833.45</c:v>
                </c:pt>
                <c:pt idx="177">
                  <c:v>828.07</c:v>
                </c:pt>
                <c:pt idx="178">
                  <c:v>824.4</c:v>
                </c:pt>
                <c:pt idx="179">
                  <c:v>823</c:v>
                </c:pt>
                <c:pt idx="180">
                  <c:v>823</c:v>
                </c:pt>
                <c:pt idx="181">
                  <c:v>820.96</c:v>
                </c:pt>
                <c:pt idx="182">
                  <c:v>815.25</c:v>
                </c:pt>
                <c:pt idx="183">
                  <c:v>810.66</c:v>
                </c:pt>
                <c:pt idx="184">
                  <c:v>811.84</c:v>
                </c:pt>
                <c:pt idx="185">
                  <c:v>810.5</c:v>
                </c:pt>
                <c:pt idx="186">
                  <c:v>801.67</c:v>
                </c:pt>
                <c:pt idx="187">
                  <c:v>806</c:v>
                </c:pt>
                <c:pt idx="188">
                  <c:v>802.7</c:v>
                </c:pt>
                <c:pt idx="189">
                  <c:v>801.19</c:v>
                </c:pt>
                <c:pt idx="190">
                  <c:v>801.25</c:v>
                </c:pt>
                <c:pt idx="191">
                  <c:v>815.84</c:v>
                </c:pt>
                <c:pt idx="192">
                  <c:v>841.95</c:v>
                </c:pt>
                <c:pt idx="193">
                  <c:v>838</c:v>
                </c:pt>
                <c:pt idx="194">
                  <c:v>835.77</c:v>
                </c:pt>
                <c:pt idx="195">
                  <c:v>825.9</c:v>
                </c:pt>
                <c:pt idx="196">
                  <c:v>820.87</c:v>
                </c:pt>
                <c:pt idx="197">
                  <c:v>806.91</c:v>
                </c:pt>
                <c:pt idx="198">
                  <c:v>809.48</c:v>
                </c:pt>
                <c:pt idx="199">
                  <c:v>806.2</c:v>
                </c:pt>
                <c:pt idx="200">
                  <c:v>807.14</c:v>
                </c:pt>
                <c:pt idx="201">
                  <c:v>811.22</c:v>
                </c:pt>
                <c:pt idx="202">
                  <c:v>807.39</c:v>
                </c:pt>
                <c:pt idx="203">
                  <c:v>808.15</c:v>
                </c:pt>
                <c:pt idx="204">
                  <c:v>809.13</c:v>
                </c:pt>
                <c:pt idx="205">
                  <c:v>809.97</c:v>
                </c:pt>
                <c:pt idx="206">
                  <c:v>807.9</c:v>
                </c:pt>
                <c:pt idx="207">
                  <c:v>794.48</c:v>
                </c:pt>
                <c:pt idx="208">
                  <c:v>791.34</c:v>
                </c:pt>
                <c:pt idx="209">
                  <c:v>789.63</c:v>
                </c:pt>
                <c:pt idx="210">
                  <c:v>782.78</c:v>
                </c:pt>
                <c:pt idx="211">
                  <c:v>785.93</c:v>
                </c:pt>
                <c:pt idx="212">
                  <c:v>794.23</c:v>
                </c:pt>
                <c:pt idx="213">
                  <c:v>797.86</c:v>
                </c:pt>
                <c:pt idx="214">
                  <c:v>792.74</c:v>
                </c:pt>
                <c:pt idx="215">
                  <c:v>793.32</c:v>
                </c:pt>
                <c:pt idx="216">
                  <c:v>796.68</c:v>
                </c:pt>
                <c:pt idx="217">
                  <c:v>798.65</c:v>
                </c:pt>
                <c:pt idx="218">
                  <c:v>797.66</c:v>
                </c:pt>
                <c:pt idx="219">
                  <c:v>800.86</c:v>
                </c:pt>
                <c:pt idx="220">
                  <c:v>803</c:v>
                </c:pt>
                <c:pt idx="221">
                  <c:v>804</c:v>
                </c:pt>
                <c:pt idx="222">
                  <c:v>804.38</c:v>
                </c:pt>
                <c:pt idx="223">
                  <c:v>791.25</c:v>
                </c:pt>
                <c:pt idx="224">
                  <c:v>789.43</c:v>
                </c:pt>
                <c:pt idx="225">
                  <c:v>778.18</c:v>
                </c:pt>
                <c:pt idx="226">
                  <c:v>771.36</c:v>
                </c:pt>
                <c:pt idx="227">
                  <c:v>768.83</c:v>
                </c:pt>
                <c:pt idx="228">
                  <c:v>763.9</c:v>
                </c:pt>
                <c:pt idx="229">
                  <c:v>754</c:v>
                </c:pt>
                <c:pt idx="230">
                  <c:v>759.85</c:v>
                </c:pt>
                <c:pt idx="231">
                  <c:v>772.99</c:v>
                </c:pt>
                <c:pt idx="232">
                  <c:v>778.5</c:v>
                </c:pt>
                <c:pt idx="233">
                  <c:v>779.53</c:v>
                </c:pt>
                <c:pt idx="234">
                  <c:v>765</c:v>
                </c:pt>
                <c:pt idx="235">
                  <c:v>768.28</c:v>
                </c:pt>
                <c:pt idx="236">
                  <c:v>776.96</c:v>
                </c:pt>
                <c:pt idx="237">
                  <c:v>769.7</c:v>
                </c:pt>
                <c:pt idx="238">
                  <c:v>775</c:v>
                </c:pt>
                <c:pt idx="239">
                  <c:v>772.7</c:v>
                </c:pt>
                <c:pt idx="240">
                  <c:v>766.36</c:v>
                </c:pt>
                <c:pt idx="241">
                  <c:v>764.42</c:v>
                </c:pt>
                <c:pt idx="242">
                  <c:v>757.85</c:v>
                </c:pt>
                <c:pt idx="243">
                  <c:v>760.78</c:v>
                </c:pt>
                <c:pt idx="244">
                  <c:v>791.17</c:v>
                </c:pt>
                <c:pt idx="245">
                  <c:v>791.23</c:v>
                </c:pt>
                <c:pt idx="246">
                  <c:v>795.63</c:v>
                </c:pt>
                <c:pt idx="247">
                  <c:v>785.19</c:v>
                </c:pt>
                <c:pt idx="248">
                  <c:v>770.36</c:v>
                </c:pt>
                <c:pt idx="249">
                  <c:v>769.95</c:v>
                </c:pt>
                <c:pt idx="250">
                  <c:v>781.65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27-4394-9834-F0D6BC8449F9}"/>
            </c:ext>
          </c:extLst>
        </c:ser>
        <c:ser>
          <c:idx val="2"/>
          <c:order val="2"/>
          <c:spPr>
            <a:ln w="19050">
              <a:noFill/>
            </a:ln>
          </c:spPr>
          <c:marker>
            <c:symbol val="none"/>
          </c:marker>
          <c:cat>
            <c:numRef>
              <c:f>Trades!$A$4:$A$254</c:f>
              <c:numCache>
                <c:formatCode>d\-mmm\-yy</c:formatCode>
                <c:ptCount val="251"/>
                <c:pt idx="0">
                  <c:v>43039</c:v>
                </c:pt>
                <c:pt idx="1">
                  <c:v>43038</c:v>
                </c:pt>
                <c:pt idx="2">
                  <c:v>43035</c:v>
                </c:pt>
                <c:pt idx="3">
                  <c:v>43034</c:v>
                </c:pt>
                <c:pt idx="4">
                  <c:v>43033</c:v>
                </c:pt>
                <c:pt idx="5">
                  <c:v>43032</c:v>
                </c:pt>
                <c:pt idx="6">
                  <c:v>43031</c:v>
                </c:pt>
                <c:pt idx="7">
                  <c:v>43028</c:v>
                </c:pt>
                <c:pt idx="8">
                  <c:v>43027</c:v>
                </c:pt>
                <c:pt idx="9">
                  <c:v>43026</c:v>
                </c:pt>
                <c:pt idx="10">
                  <c:v>43025</c:v>
                </c:pt>
                <c:pt idx="11">
                  <c:v>43024</c:v>
                </c:pt>
                <c:pt idx="12">
                  <c:v>43021</c:v>
                </c:pt>
                <c:pt idx="13">
                  <c:v>43020</c:v>
                </c:pt>
                <c:pt idx="14">
                  <c:v>43019</c:v>
                </c:pt>
                <c:pt idx="15">
                  <c:v>43018</c:v>
                </c:pt>
                <c:pt idx="16">
                  <c:v>43017</c:v>
                </c:pt>
                <c:pt idx="17">
                  <c:v>43014</c:v>
                </c:pt>
                <c:pt idx="18">
                  <c:v>43013</c:v>
                </c:pt>
                <c:pt idx="19">
                  <c:v>43012</c:v>
                </c:pt>
                <c:pt idx="20">
                  <c:v>43011</c:v>
                </c:pt>
                <c:pt idx="21">
                  <c:v>43010</c:v>
                </c:pt>
                <c:pt idx="22">
                  <c:v>43007</c:v>
                </c:pt>
                <c:pt idx="23">
                  <c:v>43006</c:v>
                </c:pt>
                <c:pt idx="24">
                  <c:v>43005</c:v>
                </c:pt>
                <c:pt idx="25">
                  <c:v>43004</c:v>
                </c:pt>
                <c:pt idx="26">
                  <c:v>43003</c:v>
                </c:pt>
                <c:pt idx="27">
                  <c:v>43000</c:v>
                </c:pt>
                <c:pt idx="28">
                  <c:v>42999</c:v>
                </c:pt>
                <c:pt idx="29">
                  <c:v>42998</c:v>
                </c:pt>
                <c:pt idx="30">
                  <c:v>42997</c:v>
                </c:pt>
                <c:pt idx="31">
                  <c:v>42996</c:v>
                </c:pt>
                <c:pt idx="32">
                  <c:v>42993</c:v>
                </c:pt>
                <c:pt idx="33">
                  <c:v>42992</c:v>
                </c:pt>
                <c:pt idx="34">
                  <c:v>42991</c:v>
                </c:pt>
                <c:pt idx="35">
                  <c:v>42990</c:v>
                </c:pt>
                <c:pt idx="36">
                  <c:v>42989</c:v>
                </c:pt>
                <c:pt idx="37">
                  <c:v>42986</c:v>
                </c:pt>
                <c:pt idx="38">
                  <c:v>42985</c:v>
                </c:pt>
                <c:pt idx="39">
                  <c:v>42984</c:v>
                </c:pt>
                <c:pt idx="40">
                  <c:v>42983</c:v>
                </c:pt>
                <c:pt idx="41">
                  <c:v>42979</c:v>
                </c:pt>
                <c:pt idx="42">
                  <c:v>42978</c:v>
                </c:pt>
                <c:pt idx="43">
                  <c:v>42977</c:v>
                </c:pt>
                <c:pt idx="44">
                  <c:v>42976</c:v>
                </c:pt>
                <c:pt idx="45">
                  <c:v>42975</c:v>
                </c:pt>
                <c:pt idx="46">
                  <c:v>42972</c:v>
                </c:pt>
                <c:pt idx="47">
                  <c:v>42971</c:v>
                </c:pt>
                <c:pt idx="48">
                  <c:v>42970</c:v>
                </c:pt>
                <c:pt idx="49">
                  <c:v>42969</c:v>
                </c:pt>
                <c:pt idx="50">
                  <c:v>42968</c:v>
                </c:pt>
                <c:pt idx="51">
                  <c:v>42965</c:v>
                </c:pt>
                <c:pt idx="52">
                  <c:v>42964</c:v>
                </c:pt>
                <c:pt idx="53">
                  <c:v>42963</c:v>
                </c:pt>
                <c:pt idx="54">
                  <c:v>42962</c:v>
                </c:pt>
                <c:pt idx="55">
                  <c:v>42961</c:v>
                </c:pt>
                <c:pt idx="56">
                  <c:v>42958</c:v>
                </c:pt>
                <c:pt idx="57">
                  <c:v>42957</c:v>
                </c:pt>
                <c:pt idx="58">
                  <c:v>42956</c:v>
                </c:pt>
                <c:pt idx="59">
                  <c:v>42955</c:v>
                </c:pt>
                <c:pt idx="60">
                  <c:v>42954</c:v>
                </c:pt>
                <c:pt idx="61">
                  <c:v>42951</c:v>
                </c:pt>
                <c:pt idx="62">
                  <c:v>42950</c:v>
                </c:pt>
                <c:pt idx="63">
                  <c:v>42949</c:v>
                </c:pt>
                <c:pt idx="64">
                  <c:v>42948</c:v>
                </c:pt>
                <c:pt idx="65">
                  <c:v>42947</c:v>
                </c:pt>
                <c:pt idx="66">
                  <c:v>42944</c:v>
                </c:pt>
                <c:pt idx="67">
                  <c:v>42943</c:v>
                </c:pt>
                <c:pt idx="68">
                  <c:v>42942</c:v>
                </c:pt>
                <c:pt idx="69">
                  <c:v>42941</c:v>
                </c:pt>
                <c:pt idx="70">
                  <c:v>42940</c:v>
                </c:pt>
                <c:pt idx="71">
                  <c:v>42937</c:v>
                </c:pt>
                <c:pt idx="72">
                  <c:v>42936</c:v>
                </c:pt>
                <c:pt idx="73">
                  <c:v>42935</c:v>
                </c:pt>
                <c:pt idx="74">
                  <c:v>42934</c:v>
                </c:pt>
                <c:pt idx="75">
                  <c:v>42933</c:v>
                </c:pt>
                <c:pt idx="76">
                  <c:v>42930</c:v>
                </c:pt>
                <c:pt idx="77">
                  <c:v>42929</c:v>
                </c:pt>
                <c:pt idx="78">
                  <c:v>42928</c:v>
                </c:pt>
                <c:pt idx="79">
                  <c:v>42927</c:v>
                </c:pt>
                <c:pt idx="80">
                  <c:v>42926</c:v>
                </c:pt>
                <c:pt idx="81">
                  <c:v>42923</c:v>
                </c:pt>
                <c:pt idx="82">
                  <c:v>42922</c:v>
                </c:pt>
                <c:pt idx="83">
                  <c:v>42921</c:v>
                </c:pt>
                <c:pt idx="84">
                  <c:v>42919</c:v>
                </c:pt>
                <c:pt idx="85">
                  <c:v>42916</c:v>
                </c:pt>
                <c:pt idx="86">
                  <c:v>42915</c:v>
                </c:pt>
                <c:pt idx="87">
                  <c:v>42914</c:v>
                </c:pt>
                <c:pt idx="88">
                  <c:v>42913</c:v>
                </c:pt>
                <c:pt idx="89">
                  <c:v>42912</c:v>
                </c:pt>
                <c:pt idx="90">
                  <c:v>42909</c:v>
                </c:pt>
                <c:pt idx="91">
                  <c:v>42908</c:v>
                </c:pt>
                <c:pt idx="92">
                  <c:v>42907</c:v>
                </c:pt>
                <c:pt idx="93">
                  <c:v>42906</c:v>
                </c:pt>
                <c:pt idx="94">
                  <c:v>42905</c:v>
                </c:pt>
                <c:pt idx="95">
                  <c:v>42902</c:v>
                </c:pt>
                <c:pt idx="96">
                  <c:v>42901</c:v>
                </c:pt>
                <c:pt idx="97">
                  <c:v>42900</c:v>
                </c:pt>
                <c:pt idx="98">
                  <c:v>42899</c:v>
                </c:pt>
                <c:pt idx="99">
                  <c:v>42898</c:v>
                </c:pt>
                <c:pt idx="100">
                  <c:v>42895</c:v>
                </c:pt>
                <c:pt idx="101">
                  <c:v>42894</c:v>
                </c:pt>
                <c:pt idx="102">
                  <c:v>42893</c:v>
                </c:pt>
                <c:pt idx="103">
                  <c:v>42892</c:v>
                </c:pt>
                <c:pt idx="104">
                  <c:v>42891</c:v>
                </c:pt>
                <c:pt idx="105">
                  <c:v>42888</c:v>
                </c:pt>
                <c:pt idx="106">
                  <c:v>42887</c:v>
                </c:pt>
                <c:pt idx="107">
                  <c:v>42886</c:v>
                </c:pt>
                <c:pt idx="108">
                  <c:v>42885</c:v>
                </c:pt>
                <c:pt idx="109">
                  <c:v>42881</c:v>
                </c:pt>
                <c:pt idx="110">
                  <c:v>42880</c:v>
                </c:pt>
                <c:pt idx="111">
                  <c:v>42879</c:v>
                </c:pt>
                <c:pt idx="112">
                  <c:v>42878</c:v>
                </c:pt>
                <c:pt idx="113">
                  <c:v>42877</c:v>
                </c:pt>
                <c:pt idx="114">
                  <c:v>42874</c:v>
                </c:pt>
                <c:pt idx="115">
                  <c:v>42873</c:v>
                </c:pt>
                <c:pt idx="116">
                  <c:v>42872</c:v>
                </c:pt>
                <c:pt idx="117">
                  <c:v>42871</c:v>
                </c:pt>
                <c:pt idx="118">
                  <c:v>42870</c:v>
                </c:pt>
                <c:pt idx="119">
                  <c:v>42867</c:v>
                </c:pt>
                <c:pt idx="120">
                  <c:v>42866</c:v>
                </c:pt>
                <c:pt idx="121">
                  <c:v>42865</c:v>
                </c:pt>
                <c:pt idx="122">
                  <c:v>42864</c:v>
                </c:pt>
                <c:pt idx="123">
                  <c:v>42863</c:v>
                </c:pt>
                <c:pt idx="124">
                  <c:v>42860</c:v>
                </c:pt>
                <c:pt idx="125">
                  <c:v>42859</c:v>
                </c:pt>
                <c:pt idx="126">
                  <c:v>42858</c:v>
                </c:pt>
                <c:pt idx="127">
                  <c:v>42857</c:v>
                </c:pt>
                <c:pt idx="128">
                  <c:v>42856</c:v>
                </c:pt>
                <c:pt idx="129">
                  <c:v>42853</c:v>
                </c:pt>
                <c:pt idx="130">
                  <c:v>42852</c:v>
                </c:pt>
                <c:pt idx="131">
                  <c:v>42851</c:v>
                </c:pt>
                <c:pt idx="132">
                  <c:v>42850</c:v>
                </c:pt>
                <c:pt idx="133">
                  <c:v>42849</c:v>
                </c:pt>
                <c:pt idx="134">
                  <c:v>42846</c:v>
                </c:pt>
                <c:pt idx="135">
                  <c:v>42845</c:v>
                </c:pt>
                <c:pt idx="136">
                  <c:v>42844</c:v>
                </c:pt>
                <c:pt idx="137">
                  <c:v>42843</c:v>
                </c:pt>
                <c:pt idx="138">
                  <c:v>42842</c:v>
                </c:pt>
                <c:pt idx="139">
                  <c:v>42838</c:v>
                </c:pt>
                <c:pt idx="140">
                  <c:v>42837</c:v>
                </c:pt>
                <c:pt idx="141">
                  <c:v>42836</c:v>
                </c:pt>
                <c:pt idx="142">
                  <c:v>42835</c:v>
                </c:pt>
                <c:pt idx="143">
                  <c:v>42832</c:v>
                </c:pt>
                <c:pt idx="144">
                  <c:v>42831</c:v>
                </c:pt>
                <c:pt idx="145">
                  <c:v>42830</c:v>
                </c:pt>
                <c:pt idx="146">
                  <c:v>42829</c:v>
                </c:pt>
                <c:pt idx="147">
                  <c:v>42828</c:v>
                </c:pt>
                <c:pt idx="148">
                  <c:v>42825</c:v>
                </c:pt>
                <c:pt idx="149">
                  <c:v>42824</c:v>
                </c:pt>
                <c:pt idx="150">
                  <c:v>42823</c:v>
                </c:pt>
                <c:pt idx="151">
                  <c:v>42822</c:v>
                </c:pt>
                <c:pt idx="152">
                  <c:v>42821</c:v>
                </c:pt>
                <c:pt idx="153">
                  <c:v>42818</c:v>
                </c:pt>
                <c:pt idx="154">
                  <c:v>42817</c:v>
                </c:pt>
                <c:pt idx="155">
                  <c:v>42816</c:v>
                </c:pt>
                <c:pt idx="156">
                  <c:v>42815</c:v>
                </c:pt>
                <c:pt idx="157">
                  <c:v>42814</c:v>
                </c:pt>
                <c:pt idx="158">
                  <c:v>42811</c:v>
                </c:pt>
                <c:pt idx="159">
                  <c:v>42810</c:v>
                </c:pt>
                <c:pt idx="160">
                  <c:v>42809</c:v>
                </c:pt>
                <c:pt idx="161">
                  <c:v>42808</c:v>
                </c:pt>
                <c:pt idx="162">
                  <c:v>42807</c:v>
                </c:pt>
                <c:pt idx="163">
                  <c:v>42804</c:v>
                </c:pt>
                <c:pt idx="164">
                  <c:v>42803</c:v>
                </c:pt>
                <c:pt idx="165">
                  <c:v>42802</c:v>
                </c:pt>
                <c:pt idx="166">
                  <c:v>42801</c:v>
                </c:pt>
                <c:pt idx="167">
                  <c:v>42800</c:v>
                </c:pt>
                <c:pt idx="168">
                  <c:v>42797</c:v>
                </c:pt>
                <c:pt idx="169">
                  <c:v>42796</c:v>
                </c:pt>
                <c:pt idx="170">
                  <c:v>42795</c:v>
                </c:pt>
                <c:pt idx="171">
                  <c:v>42794</c:v>
                </c:pt>
                <c:pt idx="172">
                  <c:v>42793</c:v>
                </c:pt>
                <c:pt idx="173">
                  <c:v>42790</c:v>
                </c:pt>
                <c:pt idx="174">
                  <c:v>42789</c:v>
                </c:pt>
                <c:pt idx="175">
                  <c:v>42788</c:v>
                </c:pt>
                <c:pt idx="176">
                  <c:v>42787</c:v>
                </c:pt>
                <c:pt idx="177">
                  <c:v>42783</c:v>
                </c:pt>
                <c:pt idx="178">
                  <c:v>42782</c:v>
                </c:pt>
                <c:pt idx="179">
                  <c:v>42781</c:v>
                </c:pt>
                <c:pt idx="180">
                  <c:v>42780</c:v>
                </c:pt>
                <c:pt idx="181">
                  <c:v>42779</c:v>
                </c:pt>
                <c:pt idx="182">
                  <c:v>42776</c:v>
                </c:pt>
                <c:pt idx="183">
                  <c:v>42775</c:v>
                </c:pt>
                <c:pt idx="184">
                  <c:v>42774</c:v>
                </c:pt>
                <c:pt idx="185">
                  <c:v>42773</c:v>
                </c:pt>
                <c:pt idx="186">
                  <c:v>42772</c:v>
                </c:pt>
                <c:pt idx="187">
                  <c:v>42769</c:v>
                </c:pt>
                <c:pt idx="188">
                  <c:v>42768</c:v>
                </c:pt>
                <c:pt idx="189">
                  <c:v>42767</c:v>
                </c:pt>
                <c:pt idx="190">
                  <c:v>42766</c:v>
                </c:pt>
                <c:pt idx="191">
                  <c:v>42765</c:v>
                </c:pt>
                <c:pt idx="192">
                  <c:v>42762</c:v>
                </c:pt>
                <c:pt idx="193">
                  <c:v>42761</c:v>
                </c:pt>
                <c:pt idx="194">
                  <c:v>42760</c:v>
                </c:pt>
                <c:pt idx="195">
                  <c:v>42759</c:v>
                </c:pt>
                <c:pt idx="196">
                  <c:v>42758</c:v>
                </c:pt>
                <c:pt idx="197">
                  <c:v>42755</c:v>
                </c:pt>
                <c:pt idx="198">
                  <c:v>42754</c:v>
                </c:pt>
                <c:pt idx="199">
                  <c:v>42753</c:v>
                </c:pt>
                <c:pt idx="200">
                  <c:v>42752</c:v>
                </c:pt>
                <c:pt idx="201">
                  <c:v>42748</c:v>
                </c:pt>
                <c:pt idx="202">
                  <c:v>42747</c:v>
                </c:pt>
                <c:pt idx="203">
                  <c:v>42746</c:v>
                </c:pt>
                <c:pt idx="204">
                  <c:v>42745</c:v>
                </c:pt>
                <c:pt idx="205">
                  <c:v>42744</c:v>
                </c:pt>
                <c:pt idx="206">
                  <c:v>42741</c:v>
                </c:pt>
                <c:pt idx="207">
                  <c:v>42740</c:v>
                </c:pt>
                <c:pt idx="208">
                  <c:v>42739</c:v>
                </c:pt>
                <c:pt idx="209">
                  <c:v>42738</c:v>
                </c:pt>
                <c:pt idx="210">
                  <c:v>42734</c:v>
                </c:pt>
                <c:pt idx="211">
                  <c:v>42733</c:v>
                </c:pt>
                <c:pt idx="212">
                  <c:v>42732</c:v>
                </c:pt>
                <c:pt idx="213">
                  <c:v>42731</c:v>
                </c:pt>
                <c:pt idx="214">
                  <c:v>42727</c:v>
                </c:pt>
                <c:pt idx="215">
                  <c:v>42726</c:v>
                </c:pt>
                <c:pt idx="216">
                  <c:v>42725</c:v>
                </c:pt>
                <c:pt idx="217">
                  <c:v>42724</c:v>
                </c:pt>
                <c:pt idx="218">
                  <c:v>42723</c:v>
                </c:pt>
                <c:pt idx="219">
                  <c:v>42720</c:v>
                </c:pt>
                <c:pt idx="220">
                  <c:v>42719</c:v>
                </c:pt>
                <c:pt idx="221">
                  <c:v>42718</c:v>
                </c:pt>
                <c:pt idx="222">
                  <c:v>42717</c:v>
                </c:pt>
                <c:pt idx="223">
                  <c:v>42716</c:v>
                </c:pt>
                <c:pt idx="224">
                  <c:v>42713</c:v>
                </c:pt>
                <c:pt idx="225">
                  <c:v>42712</c:v>
                </c:pt>
                <c:pt idx="226">
                  <c:v>42711</c:v>
                </c:pt>
                <c:pt idx="227">
                  <c:v>42710</c:v>
                </c:pt>
                <c:pt idx="228">
                  <c:v>42709</c:v>
                </c:pt>
                <c:pt idx="229">
                  <c:v>42706</c:v>
                </c:pt>
                <c:pt idx="230">
                  <c:v>42705</c:v>
                </c:pt>
                <c:pt idx="231">
                  <c:v>42704</c:v>
                </c:pt>
                <c:pt idx="232">
                  <c:v>42703</c:v>
                </c:pt>
                <c:pt idx="233">
                  <c:v>42702</c:v>
                </c:pt>
                <c:pt idx="234">
                  <c:v>42699</c:v>
                </c:pt>
                <c:pt idx="235">
                  <c:v>42697</c:v>
                </c:pt>
                <c:pt idx="236">
                  <c:v>42696</c:v>
                </c:pt>
                <c:pt idx="237">
                  <c:v>42695</c:v>
                </c:pt>
                <c:pt idx="238">
                  <c:v>42692</c:v>
                </c:pt>
                <c:pt idx="239">
                  <c:v>42691</c:v>
                </c:pt>
                <c:pt idx="240">
                  <c:v>42690</c:v>
                </c:pt>
                <c:pt idx="241">
                  <c:v>42689</c:v>
                </c:pt>
                <c:pt idx="242">
                  <c:v>42688</c:v>
                </c:pt>
                <c:pt idx="243">
                  <c:v>42685</c:v>
                </c:pt>
                <c:pt idx="244">
                  <c:v>42684</c:v>
                </c:pt>
                <c:pt idx="245">
                  <c:v>42683</c:v>
                </c:pt>
                <c:pt idx="246">
                  <c:v>42682</c:v>
                </c:pt>
                <c:pt idx="247">
                  <c:v>42681</c:v>
                </c:pt>
                <c:pt idx="248">
                  <c:v>42678</c:v>
                </c:pt>
                <c:pt idx="249">
                  <c:v>42677</c:v>
                </c:pt>
                <c:pt idx="250">
                  <c:v>42676</c:v>
                </c:pt>
              </c:numCache>
            </c:numRef>
          </c:cat>
          <c:val>
            <c:numRef>
              <c:f>Trades!$D$4:$D$254</c:f>
              <c:numCache>
                <c:formatCode>General</c:formatCode>
                <c:ptCount val="251"/>
                <c:pt idx="0">
                  <c:v>1010.42</c:v>
                </c:pt>
                <c:pt idx="1">
                  <c:v>1007.5</c:v>
                </c:pt>
                <c:pt idx="2">
                  <c:v>1008.2</c:v>
                </c:pt>
                <c:pt idx="3">
                  <c:v>972.2</c:v>
                </c:pt>
                <c:pt idx="4">
                  <c:v>960.52</c:v>
                </c:pt>
                <c:pt idx="5">
                  <c:v>961</c:v>
                </c:pt>
                <c:pt idx="6">
                  <c:v>966.12</c:v>
                </c:pt>
                <c:pt idx="7">
                  <c:v>984.58</c:v>
                </c:pt>
                <c:pt idx="8">
                  <c:v>978.39</c:v>
                </c:pt>
                <c:pt idx="9">
                  <c:v>986.97</c:v>
                </c:pt>
                <c:pt idx="10">
                  <c:v>988.59</c:v>
                </c:pt>
                <c:pt idx="11">
                  <c:v>984</c:v>
                </c:pt>
                <c:pt idx="12">
                  <c:v>989</c:v>
                </c:pt>
                <c:pt idx="13">
                  <c:v>985</c:v>
                </c:pt>
                <c:pt idx="14">
                  <c:v>972.25</c:v>
                </c:pt>
                <c:pt idx="15">
                  <c:v>966.08</c:v>
                </c:pt>
                <c:pt idx="16">
                  <c:v>976.11</c:v>
                </c:pt>
                <c:pt idx="17">
                  <c:v>963.36</c:v>
                </c:pt>
                <c:pt idx="18">
                  <c:v>955.18</c:v>
                </c:pt>
                <c:pt idx="19">
                  <c:v>950.69</c:v>
                </c:pt>
                <c:pt idx="20">
                  <c:v>949.14</c:v>
                </c:pt>
                <c:pt idx="21">
                  <c:v>947.84</c:v>
                </c:pt>
                <c:pt idx="22">
                  <c:v>951.51</c:v>
                </c:pt>
                <c:pt idx="23">
                  <c:v>940.55</c:v>
                </c:pt>
                <c:pt idx="24">
                  <c:v>927.74</c:v>
                </c:pt>
                <c:pt idx="25">
                  <c:v>921.14</c:v>
                </c:pt>
                <c:pt idx="26">
                  <c:v>909.7</c:v>
                </c:pt>
                <c:pt idx="27">
                  <c:v>926.48</c:v>
                </c:pt>
                <c:pt idx="28">
                  <c:v>923.83</c:v>
                </c:pt>
                <c:pt idx="29">
                  <c:v>922</c:v>
                </c:pt>
                <c:pt idx="30">
                  <c:v>912.55</c:v>
                </c:pt>
                <c:pt idx="31">
                  <c:v>910.6</c:v>
                </c:pt>
                <c:pt idx="32">
                  <c:v>916.36</c:v>
                </c:pt>
                <c:pt idx="33">
                  <c:v>924</c:v>
                </c:pt>
                <c:pt idx="34">
                  <c:v>929.86</c:v>
                </c:pt>
                <c:pt idx="35">
                  <c:v>923.86</c:v>
                </c:pt>
                <c:pt idx="36">
                  <c:v>926.92</c:v>
                </c:pt>
                <c:pt idx="37">
                  <c:v>924.88</c:v>
                </c:pt>
                <c:pt idx="38">
                  <c:v>923.62</c:v>
                </c:pt>
                <c:pt idx="39">
                  <c:v>919.27</c:v>
                </c:pt>
                <c:pt idx="40">
                  <c:v>921.96</c:v>
                </c:pt>
                <c:pt idx="41">
                  <c:v>935.15</c:v>
                </c:pt>
                <c:pt idx="42">
                  <c:v>931.76</c:v>
                </c:pt>
                <c:pt idx="43">
                  <c:v>919.65</c:v>
                </c:pt>
                <c:pt idx="44">
                  <c:v>905</c:v>
                </c:pt>
                <c:pt idx="45">
                  <c:v>911.87</c:v>
                </c:pt>
                <c:pt idx="46">
                  <c:v>915.5</c:v>
                </c:pt>
                <c:pt idx="47">
                  <c:v>915.5</c:v>
                </c:pt>
                <c:pt idx="48">
                  <c:v>919.36</c:v>
                </c:pt>
                <c:pt idx="49">
                  <c:v>911.48</c:v>
                </c:pt>
                <c:pt idx="50">
                  <c:v>903.4</c:v>
                </c:pt>
                <c:pt idx="51">
                  <c:v>907.15</c:v>
                </c:pt>
                <c:pt idx="52">
                  <c:v>910.98</c:v>
                </c:pt>
                <c:pt idx="53">
                  <c:v>923.44</c:v>
                </c:pt>
                <c:pt idx="54">
                  <c:v>919.82</c:v>
                </c:pt>
                <c:pt idx="55">
                  <c:v>918.19</c:v>
                </c:pt>
                <c:pt idx="56">
                  <c:v>905.58</c:v>
                </c:pt>
                <c:pt idx="57">
                  <c:v>906.13</c:v>
                </c:pt>
                <c:pt idx="58">
                  <c:v>917.25</c:v>
                </c:pt>
                <c:pt idx="59">
                  <c:v>925.61</c:v>
                </c:pt>
                <c:pt idx="60">
                  <c:v>926.5</c:v>
                </c:pt>
                <c:pt idx="61">
                  <c:v>923.03</c:v>
                </c:pt>
                <c:pt idx="62">
                  <c:v>922.24</c:v>
                </c:pt>
                <c:pt idx="63">
                  <c:v>916.68</c:v>
                </c:pt>
                <c:pt idx="64">
                  <c:v>929.26</c:v>
                </c:pt>
                <c:pt idx="65">
                  <c:v>926.04</c:v>
                </c:pt>
                <c:pt idx="66">
                  <c:v>927.5</c:v>
                </c:pt>
                <c:pt idx="67">
                  <c:v>920</c:v>
                </c:pt>
                <c:pt idx="68">
                  <c:v>942.28</c:v>
                </c:pt>
                <c:pt idx="69">
                  <c:v>945.4</c:v>
                </c:pt>
                <c:pt idx="70">
                  <c:v>970.77</c:v>
                </c:pt>
                <c:pt idx="71">
                  <c:v>960.15</c:v>
                </c:pt>
                <c:pt idx="72">
                  <c:v>961.51</c:v>
                </c:pt>
                <c:pt idx="73">
                  <c:v>964.03</c:v>
                </c:pt>
                <c:pt idx="74">
                  <c:v>950.6</c:v>
                </c:pt>
                <c:pt idx="75">
                  <c:v>949.24</c:v>
                </c:pt>
                <c:pt idx="76">
                  <c:v>948</c:v>
                </c:pt>
                <c:pt idx="77">
                  <c:v>943.01</c:v>
                </c:pt>
                <c:pt idx="78">
                  <c:v>934.47</c:v>
                </c:pt>
                <c:pt idx="79">
                  <c:v>922</c:v>
                </c:pt>
                <c:pt idx="80">
                  <c:v>919.59</c:v>
                </c:pt>
                <c:pt idx="81">
                  <c:v>908.85</c:v>
                </c:pt>
                <c:pt idx="82">
                  <c:v>899.7</c:v>
                </c:pt>
                <c:pt idx="83">
                  <c:v>898.5</c:v>
                </c:pt>
                <c:pt idx="84">
                  <c:v>894.79</c:v>
                </c:pt>
                <c:pt idx="85">
                  <c:v>908.31</c:v>
                </c:pt>
                <c:pt idx="86">
                  <c:v>910.62</c:v>
                </c:pt>
                <c:pt idx="87">
                  <c:v>916</c:v>
                </c:pt>
                <c:pt idx="88">
                  <c:v>926.85</c:v>
                </c:pt>
                <c:pt idx="89">
                  <c:v>950.79</c:v>
                </c:pt>
                <c:pt idx="90">
                  <c:v>954.2</c:v>
                </c:pt>
                <c:pt idx="91">
                  <c:v>954.55</c:v>
                </c:pt>
                <c:pt idx="92">
                  <c:v>950.76</c:v>
                </c:pt>
                <c:pt idx="93">
                  <c:v>950.01</c:v>
                </c:pt>
                <c:pt idx="94">
                  <c:v>949.05</c:v>
                </c:pt>
                <c:pt idx="95">
                  <c:v>931.6</c:v>
                </c:pt>
                <c:pt idx="96">
                  <c:v>924.44</c:v>
                </c:pt>
                <c:pt idx="97">
                  <c:v>942.25</c:v>
                </c:pt>
                <c:pt idx="98">
                  <c:v>944.09</c:v>
                </c:pt>
                <c:pt idx="99">
                  <c:v>915.23</c:v>
                </c:pt>
                <c:pt idx="100">
                  <c:v>935.63</c:v>
                </c:pt>
                <c:pt idx="101">
                  <c:v>977.2</c:v>
                </c:pt>
                <c:pt idx="102">
                  <c:v>975.77</c:v>
                </c:pt>
                <c:pt idx="103">
                  <c:v>975.14</c:v>
                </c:pt>
                <c:pt idx="104">
                  <c:v>975.1</c:v>
                </c:pt>
                <c:pt idx="105">
                  <c:v>966</c:v>
                </c:pt>
                <c:pt idx="106">
                  <c:v>960.01</c:v>
                </c:pt>
                <c:pt idx="107">
                  <c:v>960.18</c:v>
                </c:pt>
                <c:pt idx="108">
                  <c:v>969.49</c:v>
                </c:pt>
                <c:pt idx="109">
                  <c:v>965.03</c:v>
                </c:pt>
                <c:pt idx="110">
                  <c:v>955.47</c:v>
                </c:pt>
                <c:pt idx="111">
                  <c:v>949.5</c:v>
                </c:pt>
                <c:pt idx="112">
                  <c:v>942.58</c:v>
                </c:pt>
                <c:pt idx="113">
                  <c:v>935</c:v>
                </c:pt>
                <c:pt idx="114">
                  <c:v>931</c:v>
                </c:pt>
                <c:pt idx="115">
                  <c:v>918.75</c:v>
                </c:pt>
                <c:pt idx="116">
                  <c:v>918.14</c:v>
                </c:pt>
                <c:pt idx="117">
                  <c:v>937.58</c:v>
                </c:pt>
                <c:pt idx="118">
                  <c:v>929.34</c:v>
                </c:pt>
                <c:pt idx="119">
                  <c:v>927.85</c:v>
                </c:pt>
                <c:pt idx="120">
                  <c:v>923.03</c:v>
                </c:pt>
                <c:pt idx="121">
                  <c:v>925.16</c:v>
                </c:pt>
                <c:pt idx="122">
                  <c:v>929.53</c:v>
                </c:pt>
                <c:pt idx="123">
                  <c:v>925.26</c:v>
                </c:pt>
                <c:pt idx="124">
                  <c:v>925.2</c:v>
                </c:pt>
                <c:pt idx="125">
                  <c:v>924.59</c:v>
                </c:pt>
                <c:pt idx="126">
                  <c:v>912.54</c:v>
                </c:pt>
                <c:pt idx="127">
                  <c:v>909.45</c:v>
                </c:pt>
                <c:pt idx="128">
                  <c:v>901.45</c:v>
                </c:pt>
                <c:pt idx="129">
                  <c:v>905.77</c:v>
                </c:pt>
                <c:pt idx="130">
                  <c:v>870.38</c:v>
                </c:pt>
                <c:pt idx="131">
                  <c:v>867.75</c:v>
                </c:pt>
                <c:pt idx="132">
                  <c:v>862.81</c:v>
                </c:pt>
                <c:pt idx="133">
                  <c:v>849.86</c:v>
                </c:pt>
                <c:pt idx="134">
                  <c:v>840.6</c:v>
                </c:pt>
                <c:pt idx="135">
                  <c:v>839.32</c:v>
                </c:pt>
                <c:pt idx="136">
                  <c:v>836.29</c:v>
                </c:pt>
                <c:pt idx="137">
                  <c:v>832.71</c:v>
                </c:pt>
                <c:pt idx="138">
                  <c:v>824.47</c:v>
                </c:pt>
                <c:pt idx="139">
                  <c:v>821.44</c:v>
                </c:pt>
                <c:pt idx="140">
                  <c:v>821.02</c:v>
                </c:pt>
                <c:pt idx="141">
                  <c:v>817.02</c:v>
                </c:pt>
                <c:pt idx="142">
                  <c:v>823.77</c:v>
                </c:pt>
                <c:pt idx="143">
                  <c:v>820.51</c:v>
                </c:pt>
                <c:pt idx="144">
                  <c:v>826.46</c:v>
                </c:pt>
                <c:pt idx="145">
                  <c:v>830.72</c:v>
                </c:pt>
                <c:pt idx="146">
                  <c:v>829.04</c:v>
                </c:pt>
                <c:pt idx="147">
                  <c:v>829.22</c:v>
                </c:pt>
                <c:pt idx="148">
                  <c:v>827.39</c:v>
                </c:pt>
                <c:pt idx="149">
                  <c:v>829</c:v>
                </c:pt>
                <c:pt idx="150">
                  <c:v>822.38</c:v>
                </c:pt>
                <c:pt idx="151">
                  <c:v>814.03</c:v>
                </c:pt>
                <c:pt idx="152">
                  <c:v>803.37</c:v>
                </c:pt>
                <c:pt idx="153">
                  <c:v>808.89</c:v>
                </c:pt>
                <c:pt idx="154">
                  <c:v>812.26</c:v>
                </c:pt>
                <c:pt idx="155">
                  <c:v>827.18</c:v>
                </c:pt>
                <c:pt idx="156">
                  <c:v>829.02</c:v>
                </c:pt>
                <c:pt idx="157">
                  <c:v>845.15</c:v>
                </c:pt>
                <c:pt idx="158">
                  <c:v>847.11</c:v>
                </c:pt>
                <c:pt idx="159">
                  <c:v>846.13</c:v>
                </c:pt>
                <c:pt idx="160">
                  <c:v>840.77</c:v>
                </c:pt>
                <c:pt idx="161">
                  <c:v>840.8</c:v>
                </c:pt>
                <c:pt idx="162">
                  <c:v>843.25</c:v>
                </c:pt>
                <c:pt idx="163">
                  <c:v>839.5</c:v>
                </c:pt>
                <c:pt idx="164">
                  <c:v>834.21</c:v>
                </c:pt>
                <c:pt idx="165">
                  <c:v>831.79</c:v>
                </c:pt>
                <c:pt idx="166">
                  <c:v>826.52</c:v>
                </c:pt>
                <c:pt idx="167">
                  <c:v>822.4</c:v>
                </c:pt>
                <c:pt idx="168">
                  <c:v>825.75</c:v>
                </c:pt>
                <c:pt idx="169">
                  <c:v>829.64</c:v>
                </c:pt>
                <c:pt idx="170">
                  <c:v>827.26</c:v>
                </c:pt>
                <c:pt idx="171">
                  <c:v>820.2</c:v>
                </c:pt>
                <c:pt idx="172">
                  <c:v>824</c:v>
                </c:pt>
                <c:pt idx="173">
                  <c:v>824.2</c:v>
                </c:pt>
                <c:pt idx="174">
                  <c:v>822.88</c:v>
                </c:pt>
                <c:pt idx="175">
                  <c:v>828.64</c:v>
                </c:pt>
                <c:pt idx="176">
                  <c:v>828.35</c:v>
                </c:pt>
                <c:pt idx="177">
                  <c:v>821.66</c:v>
                </c:pt>
                <c:pt idx="178">
                  <c:v>818.98</c:v>
                </c:pt>
                <c:pt idx="179">
                  <c:v>818.47</c:v>
                </c:pt>
                <c:pt idx="180">
                  <c:v>816</c:v>
                </c:pt>
                <c:pt idx="181">
                  <c:v>815.49</c:v>
                </c:pt>
                <c:pt idx="182">
                  <c:v>809.78</c:v>
                </c:pt>
                <c:pt idx="183">
                  <c:v>804.54</c:v>
                </c:pt>
                <c:pt idx="184">
                  <c:v>803.19</c:v>
                </c:pt>
                <c:pt idx="185">
                  <c:v>801.78</c:v>
                </c:pt>
                <c:pt idx="186">
                  <c:v>795.25</c:v>
                </c:pt>
                <c:pt idx="187">
                  <c:v>800.37</c:v>
                </c:pt>
                <c:pt idx="188">
                  <c:v>792</c:v>
                </c:pt>
                <c:pt idx="189">
                  <c:v>791.19</c:v>
                </c:pt>
                <c:pt idx="190">
                  <c:v>790.52</c:v>
                </c:pt>
                <c:pt idx="191">
                  <c:v>799.8</c:v>
                </c:pt>
                <c:pt idx="192">
                  <c:v>820.44</c:v>
                </c:pt>
                <c:pt idx="193">
                  <c:v>827.01</c:v>
                </c:pt>
                <c:pt idx="194">
                  <c:v>825.06</c:v>
                </c:pt>
                <c:pt idx="195">
                  <c:v>817.82</c:v>
                </c:pt>
                <c:pt idx="196">
                  <c:v>803.74</c:v>
                </c:pt>
                <c:pt idx="197">
                  <c:v>801.69</c:v>
                </c:pt>
                <c:pt idx="198">
                  <c:v>801.8</c:v>
                </c:pt>
                <c:pt idx="199">
                  <c:v>800.99</c:v>
                </c:pt>
                <c:pt idx="200">
                  <c:v>800.37</c:v>
                </c:pt>
                <c:pt idx="201">
                  <c:v>806.69</c:v>
                </c:pt>
                <c:pt idx="202">
                  <c:v>799.17</c:v>
                </c:pt>
                <c:pt idx="203">
                  <c:v>801.37</c:v>
                </c:pt>
                <c:pt idx="204">
                  <c:v>803.51</c:v>
                </c:pt>
                <c:pt idx="205">
                  <c:v>802.83</c:v>
                </c:pt>
                <c:pt idx="206">
                  <c:v>792.2</c:v>
                </c:pt>
                <c:pt idx="207">
                  <c:v>785.02</c:v>
                </c:pt>
                <c:pt idx="208">
                  <c:v>783.16</c:v>
                </c:pt>
                <c:pt idx="209">
                  <c:v>775.8</c:v>
                </c:pt>
                <c:pt idx="210">
                  <c:v>770.41</c:v>
                </c:pt>
                <c:pt idx="211">
                  <c:v>778.92</c:v>
                </c:pt>
                <c:pt idx="212">
                  <c:v>783.2</c:v>
                </c:pt>
                <c:pt idx="213">
                  <c:v>787.66</c:v>
                </c:pt>
                <c:pt idx="214">
                  <c:v>787.28</c:v>
                </c:pt>
                <c:pt idx="215">
                  <c:v>788.58</c:v>
                </c:pt>
                <c:pt idx="216">
                  <c:v>787.1</c:v>
                </c:pt>
                <c:pt idx="217">
                  <c:v>793.27</c:v>
                </c:pt>
                <c:pt idx="218">
                  <c:v>786.27</c:v>
                </c:pt>
                <c:pt idx="219">
                  <c:v>790.29</c:v>
                </c:pt>
                <c:pt idx="220">
                  <c:v>792.92</c:v>
                </c:pt>
                <c:pt idx="221">
                  <c:v>794.01</c:v>
                </c:pt>
                <c:pt idx="222">
                  <c:v>793.34</c:v>
                </c:pt>
                <c:pt idx="223">
                  <c:v>784.36</c:v>
                </c:pt>
                <c:pt idx="224">
                  <c:v>779.02</c:v>
                </c:pt>
                <c:pt idx="225">
                  <c:v>767.23</c:v>
                </c:pt>
                <c:pt idx="226">
                  <c:v>755.8</c:v>
                </c:pt>
                <c:pt idx="227">
                  <c:v>757.34</c:v>
                </c:pt>
                <c:pt idx="228">
                  <c:v>752.9</c:v>
                </c:pt>
                <c:pt idx="229">
                  <c:v>743.1</c:v>
                </c:pt>
                <c:pt idx="230">
                  <c:v>737.02</c:v>
                </c:pt>
                <c:pt idx="231">
                  <c:v>754.83</c:v>
                </c:pt>
                <c:pt idx="232">
                  <c:v>768.24</c:v>
                </c:pt>
                <c:pt idx="233">
                  <c:v>759.8</c:v>
                </c:pt>
                <c:pt idx="234">
                  <c:v>760.52</c:v>
                </c:pt>
                <c:pt idx="235">
                  <c:v>755.25</c:v>
                </c:pt>
                <c:pt idx="236">
                  <c:v>767</c:v>
                </c:pt>
                <c:pt idx="237">
                  <c:v>760.6</c:v>
                </c:pt>
                <c:pt idx="238">
                  <c:v>760</c:v>
                </c:pt>
                <c:pt idx="239">
                  <c:v>764.23</c:v>
                </c:pt>
                <c:pt idx="240">
                  <c:v>750.51</c:v>
                </c:pt>
                <c:pt idx="241">
                  <c:v>746.97</c:v>
                </c:pt>
                <c:pt idx="242">
                  <c:v>727.54</c:v>
                </c:pt>
                <c:pt idx="243">
                  <c:v>750.38</c:v>
                </c:pt>
                <c:pt idx="244">
                  <c:v>752.18</c:v>
                </c:pt>
                <c:pt idx="245">
                  <c:v>771.67</c:v>
                </c:pt>
                <c:pt idx="246">
                  <c:v>780.19</c:v>
                </c:pt>
                <c:pt idx="247">
                  <c:v>772.55</c:v>
                </c:pt>
                <c:pt idx="248">
                  <c:v>750.56</c:v>
                </c:pt>
                <c:pt idx="249">
                  <c:v>759.03</c:v>
                </c:pt>
                <c:pt idx="250">
                  <c:v>763.45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27-4394-9834-F0D6BC8449F9}"/>
            </c:ext>
          </c:extLst>
        </c:ser>
        <c:ser>
          <c:idx val="3"/>
          <c:order val="3"/>
          <c:spPr>
            <a:ln w="19050">
              <a:noFill/>
            </a:ln>
          </c:spPr>
          <c:marker>
            <c:symbol val="none"/>
          </c:marker>
          <c:cat>
            <c:numRef>
              <c:f>Trades!$A$4:$A$254</c:f>
              <c:numCache>
                <c:formatCode>d\-mmm\-yy</c:formatCode>
                <c:ptCount val="251"/>
                <c:pt idx="0">
                  <c:v>43039</c:v>
                </c:pt>
                <c:pt idx="1">
                  <c:v>43038</c:v>
                </c:pt>
                <c:pt idx="2">
                  <c:v>43035</c:v>
                </c:pt>
                <c:pt idx="3">
                  <c:v>43034</c:v>
                </c:pt>
                <c:pt idx="4">
                  <c:v>43033</c:v>
                </c:pt>
                <c:pt idx="5">
                  <c:v>43032</c:v>
                </c:pt>
                <c:pt idx="6">
                  <c:v>43031</c:v>
                </c:pt>
                <c:pt idx="7">
                  <c:v>43028</c:v>
                </c:pt>
                <c:pt idx="8">
                  <c:v>43027</c:v>
                </c:pt>
                <c:pt idx="9">
                  <c:v>43026</c:v>
                </c:pt>
                <c:pt idx="10">
                  <c:v>43025</c:v>
                </c:pt>
                <c:pt idx="11">
                  <c:v>43024</c:v>
                </c:pt>
                <c:pt idx="12">
                  <c:v>43021</c:v>
                </c:pt>
                <c:pt idx="13">
                  <c:v>43020</c:v>
                </c:pt>
                <c:pt idx="14">
                  <c:v>43019</c:v>
                </c:pt>
                <c:pt idx="15">
                  <c:v>43018</c:v>
                </c:pt>
                <c:pt idx="16">
                  <c:v>43017</c:v>
                </c:pt>
                <c:pt idx="17">
                  <c:v>43014</c:v>
                </c:pt>
                <c:pt idx="18">
                  <c:v>43013</c:v>
                </c:pt>
                <c:pt idx="19">
                  <c:v>43012</c:v>
                </c:pt>
                <c:pt idx="20">
                  <c:v>43011</c:v>
                </c:pt>
                <c:pt idx="21">
                  <c:v>43010</c:v>
                </c:pt>
                <c:pt idx="22">
                  <c:v>43007</c:v>
                </c:pt>
                <c:pt idx="23">
                  <c:v>43006</c:v>
                </c:pt>
                <c:pt idx="24">
                  <c:v>43005</c:v>
                </c:pt>
                <c:pt idx="25">
                  <c:v>43004</c:v>
                </c:pt>
                <c:pt idx="26">
                  <c:v>43003</c:v>
                </c:pt>
                <c:pt idx="27">
                  <c:v>43000</c:v>
                </c:pt>
                <c:pt idx="28">
                  <c:v>42999</c:v>
                </c:pt>
                <c:pt idx="29">
                  <c:v>42998</c:v>
                </c:pt>
                <c:pt idx="30">
                  <c:v>42997</c:v>
                </c:pt>
                <c:pt idx="31">
                  <c:v>42996</c:v>
                </c:pt>
                <c:pt idx="32">
                  <c:v>42993</c:v>
                </c:pt>
                <c:pt idx="33">
                  <c:v>42992</c:v>
                </c:pt>
                <c:pt idx="34">
                  <c:v>42991</c:v>
                </c:pt>
                <c:pt idx="35">
                  <c:v>42990</c:v>
                </c:pt>
                <c:pt idx="36">
                  <c:v>42989</c:v>
                </c:pt>
                <c:pt idx="37">
                  <c:v>42986</c:v>
                </c:pt>
                <c:pt idx="38">
                  <c:v>42985</c:v>
                </c:pt>
                <c:pt idx="39">
                  <c:v>42984</c:v>
                </c:pt>
                <c:pt idx="40">
                  <c:v>42983</c:v>
                </c:pt>
                <c:pt idx="41">
                  <c:v>42979</c:v>
                </c:pt>
                <c:pt idx="42">
                  <c:v>42978</c:v>
                </c:pt>
                <c:pt idx="43">
                  <c:v>42977</c:v>
                </c:pt>
                <c:pt idx="44">
                  <c:v>42976</c:v>
                </c:pt>
                <c:pt idx="45">
                  <c:v>42975</c:v>
                </c:pt>
                <c:pt idx="46">
                  <c:v>42972</c:v>
                </c:pt>
                <c:pt idx="47">
                  <c:v>42971</c:v>
                </c:pt>
                <c:pt idx="48">
                  <c:v>42970</c:v>
                </c:pt>
                <c:pt idx="49">
                  <c:v>42969</c:v>
                </c:pt>
                <c:pt idx="50">
                  <c:v>42968</c:v>
                </c:pt>
                <c:pt idx="51">
                  <c:v>42965</c:v>
                </c:pt>
                <c:pt idx="52">
                  <c:v>42964</c:v>
                </c:pt>
                <c:pt idx="53">
                  <c:v>42963</c:v>
                </c:pt>
                <c:pt idx="54">
                  <c:v>42962</c:v>
                </c:pt>
                <c:pt idx="55">
                  <c:v>42961</c:v>
                </c:pt>
                <c:pt idx="56">
                  <c:v>42958</c:v>
                </c:pt>
                <c:pt idx="57">
                  <c:v>42957</c:v>
                </c:pt>
                <c:pt idx="58">
                  <c:v>42956</c:v>
                </c:pt>
                <c:pt idx="59">
                  <c:v>42955</c:v>
                </c:pt>
                <c:pt idx="60">
                  <c:v>42954</c:v>
                </c:pt>
                <c:pt idx="61">
                  <c:v>42951</c:v>
                </c:pt>
                <c:pt idx="62">
                  <c:v>42950</c:v>
                </c:pt>
                <c:pt idx="63">
                  <c:v>42949</c:v>
                </c:pt>
                <c:pt idx="64">
                  <c:v>42948</c:v>
                </c:pt>
                <c:pt idx="65">
                  <c:v>42947</c:v>
                </c:pt>
                <c:pt idx="66">
                  <c:v>42944</c:v>
                </c:pt>
                <c:pt idx="67">
                  <c:v>42943</c:v>
                </c:pt>
                <c:pt idx="68">
                  <c:v>42942</c:v>
                </c:pt>
                <c:pt idx="69">
                  <c:v>42941</c:v>
                </c:pt>
                <c:pt idx="70">
                  <c:v>42940</c:v>
                </c:pt>
                <c:pt idx="71">
                  <c:v>42937</c:v>
                </c:pt>
                <c:pt idx="72">
                  <c:v>42936</c:v>
                </c:pt>
                <c:pt idx="73">
                  <c:v>42935</c:v>
                </c:pt>
                <c:pt idx="74">
                  <c:v>42934</c:v>
                </c:pt>
                <c:pt idx="75">
                  <c:v>42933</c:v>
                </c:pt>
                <c:pt idx="76">
                  <c:v>42930</c:v>
                </c:pt>
                <c:pt idx="77">
                  <c:v>42929</c:v>
                </c:pt>
                <c:pt idx="78">
                  <c:v>42928</c:v>
                </c:pt>
                <c:pt idx="79">
                  <c:v>42927</c:v>
                </c:pt>
                <c:pt idx="80">
                  <c:v>42926</c:v>
                </c:pt>
                <c:pt idx="81">
                  <c:v>42923</c:v>
                </c:pt>
                <c:pt idx="82">
                  <c:v>42922</c:v>
                </c:pt>
                <c:pt idx="83">
                  <c:v>42921</c:v>
                </c:pt>
                <c:pt idx="84">
                  <c:v>42919</c:v>
                </c:pt>
                <c:pt idx="85">
                  <c:v>42916</c:v>
                </c:pt>
                <c:pt idx="86">
                  <c:v>42915</c:v>
                </c:pt>
                <c:pt idx="87">
                  <c:v>42914</c:v>
                </c:pt>
                <c:pt idx="88">
                  <c:v>42913</c:v>
                </c:pt>
                <c:pt idx="89">
                  <c:v>42912</c:v>
                </c:pt>
                <c:pt idx="90">
                  <c:v>42909</c:v>
                </c:pt>
                <c:pt idx="91">
                  <c:v>42908</c:v>
                </c:pt>
                <c:pt idx="92">
                  <c:v>42907</c:v>
                </c:pt>
                <c:pt idx="93">
                  <c:v>42906</c:v>
                </c:pt>
                <c:pt idx="94">
                  <c:v>42905</c:v>
                </c:pt>
                <c:pt idx="95">
                  <c:v>42902</c:v>
                </c:pt>
                <c:pt idx="96">
                  <c:v>42901</c:v>
                </c:pt>
                <c:pt idx="97">
                  <c:v>42900</c:v>
                </c:pt>
                <c:pt idx="98">
                  <c:v>42899</c:v>
                </c:pt>
                <c:pt idx="99">
                  <c:v>42898</c:v>
                </c:pt>
                <c:pt idx="100">
                  <c:v>42895</c:v>
                </c:pt>
                <c:pt idx="101">
                  <c:v>42894</c:v>
                </c:pt>
                <c:pt idx="102">
                  <c:v>42893</c:v>
                </c:pt>
                <c:pt idx="103">
                  <c:v>42892</c:v>
                </c:pt>
                <c:pt idx="104">
                  <c:v>42891</c:v>
                </c:pt>
                <c:pt idx="105">
                  <c:v>42888</c:v>
                </c:pt>
                <c:pt idx="106">
                  <c:v>42887</c:v>
                </c:pt>
                <c:pt idx="107">
                  <c:v>42886</c:v>
                </c:pt>
                <c:pt idx="108">
                  <c:v>42885</c:v>
                </c:pt>
                <c:pt idx="109">
                  <c:v>42881</c:v>
                </c:pt>
                <c:pt idx="110">
                  <c:v>42880</c:v>
                </c:pt>
                <c:pt idx="111">
                  <c:v>42879</c:v>
                </c:pt>
                <c:pt idx="112">
                  <c:v>42878</c:v>
                </c:pt>
                <c:pt idx="113">
                  <c:v>42877</c:v>
                </c:pt>
                <c:pt idx="114">
                  <c:v>42874</c:v>
                </c:pt>
                <c:pt idx="115">
                  <c:v>42873</c:v>
                </c:pt>
                <c:pt idx="116">
                  <c:v>42872</c:v>
                </c:pt>
                <c:pt idx="117">
                  <c:v>42871</c:v>
                </c:pt>
                <c:pt idx="118">
                  <c:v>42870</c:v>
                </c:pt>
                <c:pt idx="119">
                  <c:v>42867</c:v>
                </c:pt>
                <c:pt idx="120">
                  <c:v>42866</c:v>
                </c:pt>
                <c:pt idx="121">
                  <c:v>42865</c:v>
                </c:pt>
                <c:pt idx="122">
                  <c:v>42864</c:v>
                </c:pt>
                <c:pt idx="123">
                  <c:v>42863</c:v>
                </c:pt>
                <c:pt idx="124">
                  <c:v>42860</c:v>
                </c:pt>
                <c:pt idx="125">
                  <c:v>42859</c:v>
                </c:pt>
                <c:pt idx="126">
                  <c:v>42858</c:v>
                </c:pt>
                <c:pt idx="127">
                  <c:v>42857</c:v>
                </c:pt>
                <c:pt idx="128">
                  <c:v>42856</c:v>
                </c:pt>
                <c:pt idx="129">
                  <c:v>42853</c:v>
                </c:pt>
                <c:pt idx="130">
                  <c:v>42852</c:v>
                </c:pt>
                <c:pt idx="131">
                  <c:v>42851</c:v>
                </c:pt>
                <c:pt idx="132">
                  <c:v>42850</c:v>
                </c:pt>
                <c:pt idx="133">
                  <c:v>42849</c:v>
                </c:pt>
                <c:pt idx="134">
                  <c:v>42846</c:v>
                </c:pt>
                <c:pt idx="135">
                  <c:v>42845</c:v>
                </c:pt>
                <c:pt idx="136">
                  <c:v>42844</c:v>
                </c:pt>
                <c:pt idx="137">
                  <c:v>42843</c:v>
                </c:pt>
                <c:pt idx="138">
                  <c:v>42842</c:v>
                </c:pt>
                <c:pt idx="139">
                  <c:v>42838</c:v>
                </c:pt>
                <c:pt idx="140">
                  <c:v>42837</c:v>
                </c:pt>
                <c:pt idx="141">
                  <c:v>42836</c:v>
                </c:pt>
                <c:pt idx="142">
                  <c:v>42835</c:v>
                </c:pt>
                <c:pt idx="143">
                  <c:v>42832</c:v>
                </c:pt>
                <c:pt idx="144">
                  <c:v>42831</c:v>
                </c:pt>
                <c:pt idx="145">
                  <c:v>42830</c:v>
                </c:pt>
                <c:pt idx="146">
                  <c:v>42829</c:v>
                </c:pt>
                <c:pt idx="147">
                  <c:v>42828</c:v>
                </c:pt>
                <c:pt idx="148">
                  <c:v>42825</c:v>
                </c:pt>
                <c:pt idx="149">
                  <c:v>42824</c:v>
                </c:pt>
                <c:pt idx="150">
                  <c:v>42823</c:v>
                </c:pt>
                <c:pt idx="151">
                  <c:v>42822</c:v>
                </c:pt>
                <c:pt idx="152">
                  <c:v>42821</c:v>
                </c:pt>
                <c:pt idx="153">
                  <c:v>42818</c:v>
                </c:pt>
                <c:pt idx="154">
                  <c:v>42817</c:v>
                </c:pt>
                <c:pt idx="155">
                  <c:v>42816</c:v>
                </c:pt>
                <c:pt idx="156">
                  <c:v>42815</c:v>
                </c:pt>
                <c:pt idx="157">
                  <c:v>42814</c:v>
                </c:pt>
                <c:pt idx="158">
                  <c:v>42811</c:v>
                </c:pt>
                <c:pt idx="159">
                  <c:v>42810</c:v>
                </c:pt>
                <c:pt idx="160">
                  <c:v>42809</c:v>
                </c:pt>
                <c:pt idx="161">
                  <c:v>42808</c:v>
                </c:pt>
                <c:pt idx="162">
                  <c:v>42807</c:v>
                </c:pt>
                <c:pt idx="163">
                  <c:v>42804</c:v>
                </c:pt>
                <c:pt idx="164">
                  <c:v>42803</c:v>
                </c:pt>
                <c:pt idx="165">
                  <c:v>42802</c:v>
                </c:pt>
                <c:pt idx="166">
                  <c:v>42801</c:v>
                </c:pt>
                <c:pt idx="167">
                  <c:v>42800</c:v>
                </c:pt>
                <c:pt idx="168">
                  <c:v>42797</c:v>
                </c:pt>
                <c:pt idx="169">
                  <c:v>42796</c:v>
                </c:pt>
                <c:pt idx="170">
                  <c:v>42795</c:v>
                </c:pt>
                <c:pt idx="171">
                  <c:v>42794</c:v>
                </c:pt>
                <c:pt idx="172">
                  <c:v>42793</c:v>
                </c:pt>
                <c:pt idx="173">
                  <c:v>42790</c:v>
                </c:pt>
                <c:pt idx="174">
                  <c:v>42789</c:v>
                </c:pt>
                <c:pt idx="175">
                  <c:v>42788</c:v>
                </c:pt>
                <c:pt idx="176">
                  <c:v>42787</c:v>
                </c:pt>
                <c:pt idx="177">
                  <c:v>42783</c:v>
                </c:pt>
                <c:pt idx="178">
                  <c:v>42782</c:v>
                </c:pt>
                <c:pt idx="179">
                  <c:v>42781</c:v>
                </c:pt>
                <c:pt idx="180">
                  <c:v>42780</c:v>
                </c:pt>
                <c:pt idx="181">
                  <c:v>42779</c:v>
                </c:pt>
                <c:pt idx="182">
                  <c:v>42776</c:v>
                </c:pt>
                <c:pt idx="183">
                  <c:v>42775</c:v>
                </c:pt>
                <c:pt idx="184">
                  <c:v>42774</c:v>
                </c:pt>
                <c:pt idx="185">
                  <c:v>42773</c:v>
                </c:pt>
                <c:pt idx="186">
                  <c:v>42772</c:v>
                </c:pt>
                <c:pt idx="187">
                  <c:v>42769</c:v>
                </c:pt>
                <c:pt idx="188">
                  <c:v>42768</c:v>
                </c:pt>
                <c:pt idx="189">
                  <c:v>42767</c:v>
                </c:pt>
                <c:pt idx="190">
                  <c:v>42766</c:v>
                </c:pt>
                <c:pt idx="191">
                  <c:v>42765</c:v>
                </c:pt>
                <c:pt idx="192">
                  <c:v>42762</c:v>
                </c:pt>
                <c:pt idx="193">
                  <c:v>42761</c:v>
                </c:pt>
                <c:pt idx="194">
                  <c:v>42760</c:v>
                </c:pt>
                <c:pt idx="195">
                  <c:v>42759</c:v>
                </c:pt>
                <c:pt idx="196">
                  <c:v>42758</c:v>
                </c:pt>
                <c:pt idx="197">
                  <c:v>42755</c:v>
                </c:pt>
                <c:pt idx="198">
                  <c:v>42754</c:v>
                </c:pt>
                <c:pt idx="199">
                  <c:v>42753</c:v>
                </c:pt>
                <c:pt idx="200">
                  <c:v>42752</c:v>
                </c:pt>
                <c:pt idx="201">
                  <c:v>42748</c:v>
                </c:pt>
                <c:pt idx="202">
                  <c:v>42747</c:v>
                </c:pt>
                <c:pt idx="203">
                  <c:v>42746</c:v>
                </c:pt>
                <c:pt idx="204">
                  <c:v>42745</c:v>
                </c:pt>
                <c:pt idx="205">
                  <c:v>42744</c:v>
                </c:pt>
                <c:pt idx="206">
                  <c:v>42741</c:v>
                </c:pt>
                <c:pt idx="207">
                  <c:v>42740</c:v>
                </c:pt>
                <c:pt idx="208">
                  <c:v>42739</c:v>
                </c:pt>
                <c:pt idx="209">
                  <c:v>42738</c:v>
                </c:pt>
                <c:pt idx="210">
                  <c:v>42734</c:v>
                </c:pt>
                <c:pt idx="211">
                  <c:v>42733</c:v>
                </c:pt>
                <c:pt idx="212">
                  <c:v>42732</c:v>
                </c:pt>
                <c:pt idx="213">
                  <c:v>42731</c:v>
                </c:pt>
                <c:pt idx="214">
                  <c:v>42727</c:v>
                </c:pt>
                <c:pt idx="215">
                  <c:v>42726</c:v>
                </c:pt>
                <c:pt idx="216">
                  <c:v>42725</c:v>
                </c:pt>
                <c:pt idx="217">
                  <c:v>42724</c:v>
                </c:pt>
                <c:pt idx="218">
                  <c:v>42723</c:v>
                </c:pt>
                <c:pt idx="219">
                  <c:v>42720</c:v>
                </c:pt>
                <c:pt idx="220">
                  <c:v>42719</c:v>
                </c:pt>
                <c:pt idx="221">
                  <c:v>42718</c:v>
                </c:pt>
                <c:pt idx="222">
                  <c:v>42717</c:v>
                </c:pt>
                <c:pt idx="223">
                  <c:v>42716</c:v>
                </c:pt>
                <c:pt idx="224">
                  <c:v>42713</c:v>
                </c:pt>
                <c:pt idx="225">
                  <c:v>42712</c:v>
                </c:pt>
                <c:pt idx="226">
                  <c:v>42711</c:v>
                </c:pt>
                <c:pt idx="227">
                  <c:v>42710</c:v>
                </c:pt>
                <c:pt idx="228">
                  <c:v>42709</c:v>
                </c:pt>
                <c:pt idx="229">
                  <c:v>42706</c:v>
                </c:pt>
                <c:pt idx="230">
                  <c:v>42705</c:v>
                </c:pt>
                <c:pt idx="231">
                  <c:v>42704</c:v>
                </c:pt>
                <c:pt idx="232">
                  <c:v>42703</c:v>
                </c:pt>
                <c:pt idx="233">
                  <c:v>42702</c:v>
                </c:pt>
                <c:pt idx="234">
                  <c:v>42699</c:v>
                </c:pt>
                <c:pt idx="235">
                  <c:v>42697</c:v>
                </c:pt>
                <c:pt idx="236">
                  <c:v>42696</c:v>
                </c:pt>
                <c:pt idx="237">
                  <c:v>42695</c:v>
                </c:pt>
                <c:pt idx="238">
                  <c:v>42692</c:v>
                </c:pt>
                <c:pt idx="239">
                  <c:v>42691</c:v>
                </c:pt>
                <c:pt idx="240">
                  <c:v>42690</c:v>
                </c:pt>
                <c:pt idx="241">
                  <c:v>42689</c:v>
                </c:pt>
                <c:pt idx="242">
                  <c:v>42688</c:v>
                </c:pt>
                <c:pt idx="243">
                  <c:v>42685</c:v>
                </c:pt>
                <c:pt idx="244">
                  <c:v>42684</c:v>
                </c:pt>
                <c:pt idx="245">
                  <c:v>42683</c:v>
                </c:pt>
                <c:pt idx="246">
                  <c:v>42682</c:v>
                </c:pt>
                <c:pt idx="247">
                  <c:v>42681</c:v>
                </c:pt>
                <c:pt idx="248">
                  <c:v>42678</c:v>
                </c:pt>
                <c:pt idx="249">
                  <c:v>42677</c:v>
                </c:pt>
                <c:pt idx="250">
                  <c:v>42676</c:v>
                </c:pt>
              </c:numCache>
            </c:numRef>
          </c:cat>
          <c:val>
            <c:numRef>
              <c:f>Trades!$E$4:$E$254</c:f>
              <c:numCache>
                <c:formatCode>General</c:formatCode>
                <c:ptCount val="251"/>
                <c:pt idx="0">
                  <c:v>1016.64</c:v>
                </c:pt>
                <c:pt idx="1">
                  <c:v>1017.11</c:v>
                </c:pt>
                <c:pt idx="2">
                  <c:v>1019.27</c:v>
                </c:pt>
                <c:pt idx="3">
                  <c:v>972.56</c:v>
                </c:pt>
                <c:pt idx="4">
                  <c:v>973.33</c:v>
                </c:pt>
                <c:pt idx="5">
                  <c:v>970.54</c:v>
                </c:pt>
                <c:pt idx="6">
                  <c:v>968.45</c:v>
                </c:pt>
                <c:pt idx="7">
                  <c:v>988.2</c:v>
                </c:pt>
                <c:pt idx="8">
                  <c:v>984.45</c:v>
                </c:pt>
                <c:pt idx="9">
                  <c:v>992.81</c:v>
                </c:pt>
                <c:pt idx="10">
                  <c:v>992.18</c:v>
                </c:pt>
                <c:pt idx="11">
                  <c:v>992</c:v>
                </c:pt>
                <c:pt idx="12">
                  <c:v>989.68</c:v>
                </c:pt>
                <c:pt idx="13">
                  <c:v>987.83</c:v>
                </c:pt>
                <c:pt idx="14">
                  <c:v>989.25</c:v>
                </c:pt>
                <c:pt idx="15">
                  <c:v>972.6</c:v>
                </c:pt>
                <c:pt idx="16">
                  <c:v>977</c:v>
                </c:pt>
                <c:pt idx="17">
                  <c:v>978.89</c:v>
                </c:pt>
                <c:pt idx="18">
                  <c:v>969.96</c:v>
                </c:pt>
                <c:pt idx="19">
                  <c:v>951.68</c:v>
                </c:pt>
                <c:pt idx="20">
                  <c:v>957.79</c:v>
                </c:pt>
                <c:pt idx="21">
                  <c:v>953.27</c:v>
                </c:pt>
                <c:pt idx="22">
                  <c:v>959.11</c:v>
                </c:pt>
                <c:pt idx="23">
                  <c:v>949.5</c:v>
                </c:pt>
                <c:pt idx="24">
                  <c:v>944.49</c:v>
                </c:pt>
                <c:pt idx="25">
                  <c:v>924.86</c:v>
                </c:pt>
                <c:pt idx="26">
                  <c:v>920.97</c:v>
                </c:pt>
                <c:pt idx="27">
                  <c:v>928.53</c:v>
                </c:pt>
                <c:pt idx="28">
                  <c:v>932.45</c:v>
                </c:pt>
                <c:pt idx="29">
                  <c:v>931.58</c:v>
                </c:pt>
                <c:pt idx="30">
                  <c:v>921.81</c:v>
                </c:pt>
                <c:pt idx="31">
                  <c:v>915</c:v>
                </c:pt>
                <c:pt idx="32">
                  <c:v>920.29</c:v>
                </c:pt>
                <c:pt idx="33">
                  <c:v>925.11</c:v>
                </c:pt>
                <c:pt idx="34">
                  <c:v>935.09</c:v>
                </c:pt>
                <c:pt idx="35">
                  <c:v>932.07</c:v>
                </c:pt>
                <c:pt idx="36">
                  <c:v>929.08</c:v>
                </c:pt>
                <c:pt idx="37">
                  <c:v>926.5</c:v>
                </c:pt>
                <c:pt idx="38">
                  <c:v>935.95</c:v>
                </c:pt>
                <c:pt idx="39">
                  <c:v>927.81</c:v>
                </c:pt>
                <c:pt idx="40">
                  <c:v>928.45</c:v>
                </c:pt>
                <c:pt idx="41">
                  <c:v>937.34</c:v>
                </c:pt>
                <c:pt idx="42">
                  <c:v>939.33</c:v>
                </c:pt>
                <c:pt idx="43">
                  <c:v>929.57</c:v>
                </c:pt>
                <c:pt idx="44">
                  <c:v>921.29</c:v>
                </c:pt>
                <c:pt idx="45">
                  <c:v>913.81</c:v>
                </c:pt>
                <c:pt idx="46">
                  <c:v>915.89</c:v>
                </c:pt>
                <c:pt idx="47">
                  <c:v>921.28</c:v>
                </c:pt>
                <c:pt idx="48">
                  <c:v>927</c:v>
                </c:pt>
                <c:pt idx="49">
                  <c:v>924.69</c:v>
                </c:pt>
                <c:pt idx="50">
                  <c:v>906.66</c:v>
                </c:pt>
                <c:pt idx="51">
                  <c:v>910.67</c:v>
                </c:pt>
                <c:pt idx="52">
                  <c:v>910.98</c:v>
                </c:pt>
                <c:pt idx="53">
                  <c:v>926.96</c:v>
                </c:pt>
                <c:pt idx="54">
                  <c:v>922.22</c:v>
                </c:pt>
                <c:pt idx="55">
                  <c:v>922.67</c:v>
                </c:pt>
                <c:pt idx="56">
                  <c:v>914.39</c:v>
                </c:pt>
                <c:pt idx="57">
                  <c:v>907.24</c:v>
                </c:pt>
                <c:pt idx="58">
                  <c:v>922.9</c:v>
                </c:pt>
                <c:pt idx="59">
                  <c:v>926.79</c:v>
                </c:pt>
                <c:pt idx="60">
                  <c:v>929.36</c:v>
                </c:pt>
                <c:pt idx="61">
                  <c:v>927.96</c:v>
                </c:pt>
                <c:pt idx="62">
                  <c:v>923.65</c:v>
                </c:pt>
                <c:pt idx="63">
                  <c:v>930.39</c:v>
                </c:pt>
                <c:pt idx="64">
                  <c:v>930.83</c:v>
                </c:pt>
                <c:pt idx="65">
                  <c:v>930.5</c:v>
                </c:pt>
                <c:pt idx="66">
                  <c:v>941.53</c:v>
                </c:pt>
                <c:pt idx="67">
                  <c:v>934.09</c:v>
                </c:pt>
                <c:pt idx="68">
                  <c:v>947.8</c:v>
                </c:pt>
                <c:pt idx="69">
                  <c:v>950.7</c:v>
                </c:pt>
                <c:pt idx="70">
                  <c:v>980.34</c:v>
                </c:pt>
                <c:pt idx="71">
                  <c:v>972.92</c:v>
                </c:pt>
                <c:pt idx="72">
                  <c:v>968.15</c:v>
                </c:pt>
                <c:pt idx="73">
                  <c:v>970.89</c:v>
                </c:pt>
                <c:pt idx="74">
                  <c:v>965.4</c:v>
                </c:pt>
                <c:pt idx="75">
                  <c:v>953.42</c:v>
                </c:pt>
                <c:pt idx="76">
                  <c:v>955.99</c:v>
                </c:pt>
                <c:pt idx="77">
                  <c:v>947.16</c:v>
                </c:pt>
                <c:pt idx="78">
                  <c:v>943.83</c:v>
                </c:pt>
                <c:pt idx="79">
                  <c:v>930.09</c:v>
                </c:pt>
                <c:pt idx="80">
                  <c:v>928.8</c:v>
                </c:pt>
                <c:pt idx="81">
                  <c:v>918.59</c:v>
                </c:pt>
                <c:pt idx="82">
                  <c:v>906.69</c:v>
                </c:pt>
                <c:pt idx="83">
                  <c:v>911.71</c:v>
                </c:pt>
                <c:pt idx="84">
                  <c:v>898.7</c:v>
                </c:pt>
                <c:pt idx="85">
                  <c:v>908.73</c:v>
                </c:pt>
                <c:pt idx="86">
                  <c:v>917.79</c:v>
                </c:pt>
                <c:pt idx="87">
                  <c:v>940.49</c:v>
                </c:pt>
                <c:pt idx="88">
                  <c:v>927.33</c:v>
                </c:pt>
                <c:pt idx="89">
                  <c:v>952.27</c:v>
                </c:pt>
                <c:pt idx="90">
                  <c:v>965.59</c:v>
                </c:pt>
                <c:pt idx="91">
                  <c:v>957.09</c:v>
                </c:pt>
                <c:pt idx="92">
                  <c:v>959.45</c:v>
                </c:pt>
                <c:pt idx="93">
                  <c:v>950.63</c:v>
                </c:pt>
                <c:pt idx="94">
                  <c:v>957.37</c:v>
                </c:pt>
                <c:pt idx="95">
                  <c:v>939.78</c:v>
                </c:pt>
                <c:pt idx="96">
                  <c:v>942.31</c:v>
                </c:pt>
                <c:pt idx="97">
                  <c:v>950.76</c:v>
                </c:pt>
                <c:pt idx="98">
                  <c:v>953.4</c:v>
                </c:pt>
                <c:pt idx="99">
                  <c:v>942.9</c:v>
                </c:pt>
                <c:pt idx="100">
                  <c:v>949.83</c:v>
                </c:pt>
                <c:pt idx="101">
                  <c:v>983.41</c:v>
                </c:pt>
                <c:pt idx="102">
                  <c:v>981.08</c:v>
                </c:pt>
                <c:pt idx="103">
                  <c:v>976.57</c:v>
                </c:pt>
                <c:pt idx="104">
                  <c:v>983.68</c:v>
                </c:pt>
                <c:pt idx="105">
                  <c:v>975.6</c:v>
                </c:pt>
                <c:pt idx="106">
                  <c:v>966.95</c:v>
                </c:pt>
                <c:pt idx="107">
                  <c:v>964.86</c:v>
                </c:pt>
                <c:pt idx="108">
                  <c:v>975.88</c:v>
                </c:pt>
                <c:pt idx="109">
                  <c:v>971.47</c:v>
                </c:pt>
                <c:pt idx="110">
                  <c:v>969.54</c:v>
                </c:pt>
                <c:pt idx="111">
                  <c:v>954.96</c:v>
                </c:pt>
                <c:pt idx="112">
                  <c:v>948.82</c:v>
                </c:pt>
                <c:pt idx="113">
                  <c:v>941.86</c:v>
                </c:pt>
                <c:pt idx="114">
                  <c:v>934.01</c:v>
                </c:pt>
                <c:pt idx="115">
                  <c:v>930.24</c:v>
                </c:pt>
                <c:pt idx="116">
                  <c:v>919.62</c:v>
                </c:pt>
                <c:pt idx="117">
                  <c:v>943</c:v>
                </c:pt>
                <c:pt idx="118">
                  <c:v>937.08</c:v>
                </c:pt>
                <c:pt idx="119">
                  <c:v>932.22</c:v>
                </c:pt>
                <c:pt idx="120">
                  <c:v>930.6</c:v>
                </c:pt>
                <c:pt idx="121">
                  <c:v>928.78</c:v>
                </c:pt>
                <c:pt idx="122">
                  <c:v>932.17</c:v>
                </c:pt>
                <c:pt idx="123">
                  <c:v>934.3</c:v>
                </c:pt>
                <c:pt idx="124">
                  <c:v>927.13</c:v>
                </c:pt>
                <c:pt idx="125">
                  <c:v>931.66</c:v>
                </c:pt>
                <c:pt idx="126">
                  <c:v>927.04</c:v>
                </c:pt>
                <c:pt idx="127">
                  <c:v>916.44</c:v>
                </c:pt>
                <c:pt idx="128">
                  <c:v>912.57</c:v>
                </c:pt>
                <c:pt idx="129">
                  <c:v>905.96</c:v>
                </c:pt>
                <c:pt idx="130">
                  <c:v>874.25</c:v>
                </c:pt>
                <c:pt idx="131">
                  <c:v>871.73</c:v>
                </c:pt>
                <c:pt idx="132">
                  <c:v>872.3</c:v>
                </c:pt>
                <c:pt idx="133">
                  <c:v>862.76</c:v>
                </c:pt>
                <c:pt idx="134">
                  <c:v>843.19</c:v>
                </c:pt>
                <c:pt idx="135">
                  <c:v>841.65</c:v>
                </c:pt>
                <c:pt idx="136">
                  <c:v>838.21</c:v>
                </c:pt>
                <c:pt idx="137">
                  <c:v>836.82</c:v>
                </c:pt>
                <c:pt idx="138">
                  <c:v>837.17</c:v>
                </c:pt>
                <c:pt idx="139">
                  <c:v>823.56</c:v>
                </c:pt>
                <c:pt idx="140">
                  <c:v>824.32</c:v>
                </c:pt>
                <c:pt idx="141">
                  <c:v>823.35</c:v>
                </c:pt>
                <c:pt idx="142">
                  <c:v>824.73</c:v>
                </c:pt>
                <c:pt idx="143">
                  <c:v>824.67</c:v>
                </c:pt>
                <c:pt idx="144">
                  <c:v>827.88</c:v>
                </c:pt>
                <c:pt idx="145">
                  <c:v>831.41</c:v>
                </c:pt>
                <c:pt idx="146">
                  <c:v>834.57</c:v>
                </c:pt>
                <c:pt idx="147">
                  <c:v>838.55</c:v>
                </c:pt>
                <c:pt idx="148">
                  <c:v>829.56</c:v>
                </c:pt>
                <c:pt idx="149">
                  <c:v>831.5</c:v>
                </c:pt>
                <c:pt idx="150">
                  <c:v>831.41</c:v>
                </c:pt>
                <c:pt idx="151">
                  <c:v>820.92</c:v>
                </c:pt>
                <c:pt idx="152">
                  <c:v>819.51</c:v>
                </c:pt>
                <c:pt idx="153">
                  <c:v>814.43</c:v>
                </c:pt>
                <c:pt idx="154">
                  <c:v>817.58</c:v>
                </c:pt>
                <c:pt idx="155">
                  <c:v>829.59</c:v>
                </c:pt>
                <c:pt idx="156">
                  <c:v>830.46</c:v>
                </c:pt>
                <c:pt idx="157">
                  <c:v>848.4</c:v>
                </c:pt>
                <c:pt idx="158">
                  <c:v>852.12</c:v>
                </c:pt>
                <c:pt idx="159">
                  <c:v>848.78</c:v>
                </c:pt>
                <c:pt idx="160">
                  <c:v>847.2</c:v>
                </c:pt>
                <c:pt idx="161">
                  <c:v>845.62</c:v>
                </c:pt>
                <c:pt idx="162">
                  <c:v>845.54</c:v>
                </c:pt>
                <c:pt idx="163">
                  <c:v>843.25</c:v>
                </c:pt>
                <c:pt idx="164">
                  <c:v>838.68</c:v>
                </c:pt>
                <c:pt idx="165">
                  <c:v>835.37</c:v>
                </c:pt>
                <c:pt idx="166">
                  <c:v>831.91</c:v>
                </c:pt>
                <c:pt idx="167">
                  <c:v>827.78</c:v>
                </c:pt>
                <c:pt idx="168">
                  <c:v>829.08</c:v>
                </c:pt>
                <c:pt idx="169">
                  <c:v>830.63</c:v>
                </c:pt>
                <c:pt idx="170">
                  <c:v>835.24</c:v>
                </c:pt>
                <c:pt idx="171">
                  <c:v>823.21</c:v>
                </c:pt>
                <c:pt idx="172">
                  <c:v>829.28</c:v>
                </c:pt>
                <c:pt idx="173">
                  <c:v>828.64</c:v>
                </c:pt>
                <c:pt idx="174">
                  <c:v>831.33</c:v>
                </c:pt>
                <c:pt idx="175">
                  <c:v>830.76</c:v>
                </c:pt>
                <c:pt idx="176">
                  <c:v>831.66</c:v>
                </c:pt>
                <c:pt idx="177">
                  <c:v>828.07</c:v>
                </c:pt>
                <c:pt idx="178">
                  <c:v>824.16</c:v>
                </c:pt>
                <c:pt idx="179">
                  <c:v>818.98</c:v>
                </c:pt>
                <c:pt idx="180">
                  <c:v>820.45</c:v>
                </c:pt>
                <c:pt idx="181">
                  <c:v>819.24</c:v>
                </c:pt>
                <c:pt idx="182">
                  <c:v>813.67</c:v>
                </c:pt>
                <c:pt idx="183">
                  <c:v>809.56</c:v>
                </c:pt>
                <c:pt idx="184">
                  <c:v>808.38</c:v>
                </c:pt>
                <c:pt idx="185">
                  <c:v>806.97</c:v>
                </c:pt>
                <c:pt idx="186">
                  <c:v>801.34</c:v>
                </c:pt>
                <c:pt idx="187">
                  <c:v>801.49</c:v>
                </c:pt>
                <c:pt idx="188">
                  <c:v>798.53</c:v>
                </c:pt>
                <c:pt idx="189">
                  <c:v>795.7</c:v>
                </c:pt>
                <c:pt idx="190">
                  <c:v>796.79</c:v>
                </c:pt>
                <c:pt idx="191">
                  <c:v>802.32</c:v>
                </c:pt>
                <c:pt idx="192">
                  <c:v>823.31</c:v>
                </c:pt>
                <c:pt idx="193">
                  <c:v>832.15</c:v>
                </c:pt>
                <c:pt idx="194">
                  <c:v>835.67</c:v>
                </c:pt>
                <c:pt idx="195">
                  <c:v>823.87</c:v>
                </c:pt>
                <c:pt idx="196">
                  <c:v>819.31</c:v>
                </c:pt>
                <c:pt idx="197">
                  <c:v>805.02</c:v>
                </c:pt>
                <c:pt idx="198">
                  <c:v>802.18</c:v>
                </c:pt>
                <c:pt idx="199">
                  <c:v>806.07</c:v>
                </c:pt>
                <c:pt idx="200">
                  <c:v>804.61</c:v>
                </c:pt>
                <c:pt idx="201">
                  <c:v>807.88</c:v>
                </c:pt>
                <c:pt idx="202">
                  <c:v>806.36</c:v>
                </c:pt>
                <c:pt idx="203">
                  <c:v>807.91</c:v>
                </c:pt>
                <c:pt idx="204">
                  <c:v>804.79</c:v>
                </c:pt>
                <c:pt idx="205">
                  <c:v>806.65</c:v>
                </c:pt>
                <c:pt idx="206">
                  <c:v>806.15</c:v>
                </c:pt>
                <c:pt idx="207">
                  <c:v>794.02</c:v>
                </c:pt>
                <c:pt idx="208">
                  <c:v>786.9</c:v>
                </c:pt>
                <c:pt idx="209">
                  <c:v>786.14</c:v>
                </c:pt>
                <c:pt idx="210">
                  <c:v>771.82</c:v>
                </c:pt>
                <c:pt idx="211">
                  <c:v>782.79</c:v>
                </c:pt>
                <c:pt idx="212">
                  <c:v>785.05</c:v>
                </c:pt>
                <c:pt idx="213">
                  <c:v>791.55</c:v>
                </c:pt>
                <c:pt idx="214">
                  <c:v>789.91</c:v>
                </c:pt>
                <c:pt idx="215">
                  <c:v>791.26</c:v>
                </c:pt>
                <c:pt idx="216">
                  <c:v>794.56</c:v>
                </c:pt>
                <c:pt idx="217">
                  <c:v>796.42</c:v>
                </c:pt>
                <c:pt idx="218">
                  <c:v>794.2</c:v>
                </c:pt>
                <c:pt idx="219">
                  <c:v>790.8</c:v>
                </c:pt>
                <c:pt idx="220">
                  <c:v>797.85</c:v>
                </c:pt>
                <c:pt idx="221">
                  <c:v>797.07</c:v>
                </c:pt>
                <c:pt idx="222">
                  <c:v>796.1</c:v>
                </c:pt>
                <c:pt idx="223">
                  <c:v>789.27</c:v>
                </c:pt>
                <c:pt idx="224">
                  <c:v>789.29</c:v>
                </c:pt>
                <c:pt idx="225">
                  <c:v>776.42</c:v>
                </c:pt>
                <c:pt idx="226">
                  <c:v>771.19</c:v>
                </c:pt>
                <c:pt idx="227">
                  <c:v>759.11</c:v>
                </c:pt>
                <c:pt idx="228">
                  <c:v>762.52</c:v>
                </c:pt>
                <c:pt idx="229">
                  <c:v>750.5</c:v>
                </c:pt>
                <c:pt idx="230">
                  <c:v>747.92</c:v>
                </c:pt>
                <c:pt idx="231">
                  <c:v>758.04</c:v>
                </c:pt>
                <c:pt idx="232">
                  <c:v>770.84</c:v>
                </c:pt>
                <c:pt idx="233">
                  <c:v>768.24</c:v>
                </c:pt>
                <c:pt idx="234">
                  <c:v>761.68</c:v>
                </c:pt>
                <c:pt idx="235">
                  <c:v>760.99</c:v>
                </c:pt>
                <c:pt idx="236">
                  <c:v>768.27</c:v>
                </c:pt>
                <c:pt idx="237">
                  <c:v>769.2</c:v>
                </c:pt>
                <c:pt idx="238">
                  <c:v>760.54</c:v>
                </c:pt>
                <c:pt idx="239">
                  <c:v>771.23</c:v>
                </c:pt>
                <c:pt idx="240">
                  <c:v>764.48</c:v>
                </c:pt>
                <c:pt idx="241">
                  <c:v>758.49</c:v>
                </c:pt>
                <c:pt idx="242">
                  <c:v>736.08</c:v>
                </c:pt>
                <c:pt idx="243">
                  <c:v>754.02</c:v>
                </c:pt>
                <c:pt idx="244">
                  <c:v>762.56</c:v>
                </c:pt>
                <c:pt idx="245">
                  <c:v>785.31</c:v>
                </c:pt>
                <c:pt idx="246">
                  <c:v>790.51</c:v>
                </c:pt>
                <c:pt idx="247">
                  <c:v>782.52</c:v>
                </c:pt>
                <c:pt idx="248">
                  <c:v>762.02</c:v>
                </c:pt>
                <c:pt idx="249">
                  <c:v>762.13</c:v>
                </c:pt>
                <c:pt idx="250">
                  <c:v>768.7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27-4394-9834-F0D6BC844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008000"/>
              </a:solidFill>
            </c:spPr>
          </c:upBars>
          <c:downBars>
            <c:spPr>
              <a:solidFill>
                <a:srgbClr val="FF0000"/>
              </a:solidFill>
            </c:spPr>
          </c:downBars>
        </c:upDownBars>
        <c:axId val="754613576"/>
        <c:axId val="754616856"/>
      </c:stockChart>
      <c:dateAx>
        <c:axId val="754613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754616856"/>
        <c:crosses val="autoZero"/>
        <c:auto val="1"/>
        <c:lblOffset val="100"/>
        <c:baseTimeUnit val="days"/>
      </c:dateAx>
      <c:valAx>
        <c:axId val="754616856"/>
        <c:scaling>
          <c:orientation val="minMax"/>
          <c:max val="1019.27"/>
          <c:min val="736.0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54613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Capital Over Period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Trades!$R$1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Trades!$R$2:$R$254</c:f>
              <c:numCache>
                <c:formatCode>General</c:formatCode>
                <c:ptCount val="253"/>
                <c:pt idx="0">
                  <c:v>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56454</c:v>
                </c:pt>
                <c:pt idx="39">
                  <c:v>10129</c:v>
                </c:pt>
                <c:pt idx="40">
                  <c:v>10129</c:v>
                </c:pt>
                <c:pt idx="41">
                  <c:v>10129</c:v>
                </c:pt>
                <c:pt idx="42">
                  <c:v>10129</c:v>
                </c:pt>
                <c:pt idx="43">
                  <c:v>-36738</c:v>
                </c:pt>
                <c:pt idx="44">
                  <c:v>10228.5</c:v>
                </c:pt>
                <c:pt idx="45">
                  <c:v>10228.5</c:v>
                </c:pt>
                <c:pt idx="46">
                  <c:v>10228.5</c:v>
                </c:pt>
                <c:pt idx="47">
                  <c:v>55919</c:v>
                </c:pt>
                <c:pt idx="48">
                  <c:v>10124.5</c:v>
                </c:pt>
                <c:pt idx="49">
                  <c:v>10124.5</c:v>
                </c:pt>
                <c:pt idx="50">
                  <c:v>-36225.5</c:v>
                </c:pt>
                <c:pt idx="51">
                  <c:v>10009</c:v>
                </c:pt>
                <c:pt idx="52">
                  <c:v>55342</c:v>
                </c:pt>
                <c:pt idx="53">
                  <c:v>55342</c:v>
                </c:pt>
                <c:pt idx="54">
                  <c:v>55342</c:v>
                </c:pt>
                <c:pt idx="55">
                  <c:v>8994</c:v>
                </c:pt>
                <c:pt idx="56">
                  <c:v>55105</c:v>
                </c:pt>
                <c:pt idx="57">
                  <c:v>55105</c:v>
                </c:pt>
                <c:pt idx="58">
                  <c:v>100824.5</c:v>
                </c:pt>
                <c:pt idx="59">
                  <c:v>100824.5</c:v>
                </c:pt>
                <c:pt idx="60">
                  <c:v>54679.5</c:v>
                </c:pt>
                <c:pt idx="61">
                  <c:v>101019</c:v>
                </c:pt>
                <c:pt idx="62">
                  <c:v>54551</c:v>
                </c:pt>
                <c:pt idx="63">
                  <c:v>100949</c:v>
                </c:pt>
                <c:pt idx="64">
                  <c:v>54766.5</c:v>
                </c:pt>
                <c:pt idx="65">
                  <c:v>101286</c:v>
                </c:pt>
                <c:pt idx="66">
                  <c:v>54744.5</c:v>
                </c:pt>
                <c:pt idx="67">
                  <c:v>101269.5</c:v>
                </c:pt>
                <c:pt idx="68">
                  <c:v>54193</c:v>
                </c:pt>
                <c:pt idx="69">
                  <c:v>100897.5</c:v>
                </c:pt>
                <c:pt idx="70">
                  <c:v>53507.5</c:v>
                </c:pt>
                <c:pt idx="71">
                  <c:v>101042.5</c:v>
                </c:pt>
                <c:pt idx="72">
                  <c:v>52025.5</c:v>
                </c:pt>
                <c:pt idx="73">
                  <c:v>100671.5</c:v>
                </c:pt>
                <c:pt idx="74">
                  <c:v>52264</c:v>
                </c:pt>
                <c:pt idx="75">
                  <c:v>100808.5</c:v>
                </c:pt>
                <c:pt idx="76">
                  <c:v>52538.5</c:v>
                </c:pt>
                <c:pt idx="77">
                  <c:v>100209.5</c:v>
                </c:pt>
                <c:pt idx="78">
                  <c:v>52410</c:v>
                </c:pt>
                <c:pt idx="79">
                  <c:v>99768</c:v>
                </c:pt>
                <c:pt idx="80">
                  <c:v>146959.5</c:v>
                </c:pt>
                <c:pt idx="81">
                  <c:v>146959.5</c:v>
                </c:pt>
                <c:pt idx="82">
                  <c:v>146959.5</c:v>
                </c:pt>
                <c:pt idx="83">
                  <c:v>146959.5</c:v>
                </c:pt>
                <c:pt idx="84">
                  <c:v>146959.5</c:v>
                </c:pt>
                <c:pt idx="85">
                  <c:v>146959.5</c:v>
                </c:pt>
                <c:pt idx="86">
                  <c:v>146959.5</c:v>
                </c:pt>
                <c:pt idx="87">
                  <c:v>146959.5</c:v>
                </c:pt>
                <c:pt idx="88">
                  <c:v>101070</c:v>
                </c:pt>
                <c:pt idx="89">
                  <c:v>101070</c:v>
                </c:pt>
                <c:pt idx="90">
                  <c:v>101070</c:v>
                </c:pt>
                <c:pt idx="91">
                  <c:v>53456.5</c:v>
                </c:pt>
                <c:pt idx="92">
                  <c:v>101736</c:v>
                </c:pt>
                <c:pt idx="93">
                  <c:v>53881.5</c:v>
                </c:pt>
                <c:pt idx="94">
                  <c:v>101854</c:v>
                </c:pt>
                <c:pt idx="95">
                  <c:v>54322.5</c:v>
                </c:pt>
                <c:pt idx="96">
                  <c:v>102191</c:v>
                </c:pt>
                <c:pt idx="97">
                  <c:v>55202</c:v>
                </c:pt>
                <c:pt idx="98">
                  <c:v>102317.5</c:v>
                </c:pt>
                <c:pt idx="99">
                  <c:v>54779.5</c:v>
                </c:pt>
                <c:pt idx="100">
                  <c:v>102449.5</c:v>
                </c:pt>
                <c:pt idx="101">
                  <c:v>55304.5</c:v>
                </c:pt>
                <c:pt idx="102">
                  <c:v>102796</c:v>
                </c:pt>
                <c:pt idx="103">
                  <c:v>53625.5</c:v>
                </c:pt>
                <c:pt idx="104">
                  <c:v>102679.5</c:v>
                </c:pt>
                <c:pt idx="105">
                  <c:v>53851</c:v>
                </c:pt>
                <c:pt idx="106">
                  <c:v>103035</c:v>
                </c:pt>
                <c:pt idx="107">
                  <c:v>54255</c:v>
                </c:pt>
                <c:pt idx="108">
                  <c:v>102602.5</c:v>
                </c:pt>
                <c:pt idx="109">
                  <c:v>54359.5</c:v>
                </c:pt>
                <c:pt idx="110">
                  <c:v>103153.5</c:v>
                </c:pt>
                <c:pt idx="111">
                  <c:v>54580</c:v>
                </c:pt>
                <c:pt idx="112">
                  <c:v>103057</c:v>
                </c:pt>
                <c:pt idx="113">
                  <c:v>103057</c:v>
                </c:pt>
                <c:pt idx="114">
                  <c:v>103057</c:v>
                </c:pt>
                <c:pt idx="115">
                  <c:v>150150</c:v>
                </c:pt>
                <c:pt idx="116">
                  <c:v>150150</c:v>
                </c:pt>
                <c:pt idx="117">
                  <c:v>150150</c:v>
                </c:pt>
                <c:pt idx="118">
                  <c:v>150150</c:v>
                </c:pt>
                <c:pt idx="119">
                  <c:v>103000</c:v>
                </c:pt>
                <c:pt idx="120">
                  <c:v>103000</c:v>
                </c:pt>
                <c:pt idx="121">
                  <c:v>103000</c:v>
                </c:pt>
                <c:pt idx="122">
                  <c:v>103000</c:v>
                </c:pt>
                <c:pt idx="123">
                  <c:v>103000</c:v>
                </c:pt>
                <c:pt idx="124">
                  <c:v>103000</c:v>
                </c:pt>
                <c:pt idx="125">
                  <c:v>103000</c:v>
                </c:pt>
                <c:pt idx="126">
                  <c:v>103000</c:v>
                </c:pt>
                <c:pt idx="127">
                  <c:v>103000</c:v>
                </c:pt>
                <c:pt idx="128">
                  <c:v>103000</c:v>
                </c:pt>
                <c:pt idx="129">
                  <c:v>103000</c:v>
                </c:pt>
                <c:pt idx="130">
                  <c:v>103000</c:v>
                </c:pt>
                <c:pt idx="131">
                  <c:v>103000</c:v>
                </c:pt>
                <c:pt idx="132">
                  <c:v>103000</c:v>
                </c:pt>
                <c:pt idx="133">
                  <c:v>103000</c:v>
                </c:pt>
                <c:pt idx="134">
                  <c:v>103000</c:v>
                </c:pt>
                <c:pt idx="135">
                  <c:v>103000</c:v>
                </c:pt>
                <c:pt idx="136">
                  <c:v>103000</c:v>
                </c:pt>
                <c:pt idx="137">
                  <c:v>103000</c:v>
                </c:pt>
                <c:pt idx="138">
                  <c:v>103000</c:v>
                </c:pt>
                <c:pt idx="139">
                  <c:v>103000</c:v>
                </c:pt>
                <c:pt idx="140">
                  <c:v>103000</c:v>
                </c:pt>
                <c:pt idx="141">
                  <c:v>103000</c:v>
                </c:pt>
                <c:pt idx="142">
                  <c:v>103000</c:v>
                </c:pt>
                <c:pt idx="143">
                  <c:v>103000</c:v>
                </c:pt>
                <c:pt idx="144">
                  <c:v>103000</c:v>
                </c:pt>
                <c:pt idx="145">
                  <c:v>103000</c:v>
                </c:pt>
                <c:pt idx="146">
                  <c:v>103000</c:v>
                </c:pt>
                <c:pt idx="147">
                  <c:v>103000</c:v>
                </c:pt>
                <c:pt idx="148">
                  <c:v>103000</c:v>
                </c:pt>
                <c:pt idx="149">
                  <c:v>103000</c:v>
                </c:pt>
                <c:pt idx="150">
                  <c:v>103000</c:v>
                </c:pt>
                <c:pt idx="151">
                  <c:v>103000</c:v>
                </c:pt>
                <c:pt idx="152">
                  <c:v>103000</c:v>
                </c:pt>
                <c:pt idx="153">
                  <c:v>144046</c:v>
                </c:pt>
                <c:pt idx="154">
                  <c:v>103070.5</c:v>
                </c:pt>
                <c:pt idx="155">
                  <c:v>143792</c:v>
                </c:pt>
                <c:pt idx="156">
                  <c:v>102913</c:v>
                </c:pt>
                <c:pt idx="157">
                  <c:v>61433.5</c:v>
                </c:pt>
                <c:pt idx="158">
                  <c:v>102956.5</c:v>
                </c:pt>
                <c:pt idx="159">
                  <c:v>60536.5</c:v>
                </c:pt>
                <c:pt idx="160">
                  <c:v>103142.5</c:v>
                </c:pt>
                <c:pt idx="161">
                  <c:v>60703.5</c:v>
                </c:pt>
                <c:pt idx="162">
                  <c:v>103063.5</c:v>
                </c:pt>
                <c:pt idx="163">
                  <c:v>60782.5</c:v>
                </c:pt>
                <c:pt idx="164">
                  <c:v>103059.5</c:v>
                </c:pt>
                <c:pt idx="165">
                  <c:v>60897</c:v>
                </c:pt>
                <c:pt idx="166">
                  <c:v>102831</c:v>
                </c:pt>
                <c:pt idx="167">
                  <c:v>61062.5</c:v>
                </c:pt>
                <c:pt idx="168">
                  <c:v>102658</c:v>
                </c:pt>
                <c:pt idx="169">
                  <c:v>102658</c:v>
                </c:pt>
                <c:pt idx="170">
                  <c:v>102658</c:v>
                </c:pt>
                <c:pt idx="171">
                  <c:v>144189.5</c:v>
                </c:pt>
                <c:pt idx="172">
                  <c:v>102427.5</c:v>
                </c:pt>
                <c:pt idx="173">
                  <c:v>143588</c:v>
                </c:pt>
                <c:pt idx="174">
                  <c:v>102124</c:v>
                </c:pt>
                <c:pt idx="175">
                  <c:v>102124</c:v>
                </c:pt>
                <c:pt idx="176">
                  <c:v>102124</c:v>
                </c:pt>
                <c:pt idx="177">
                  <c:v>102124</c:v>
                </c:pt>
                <c:pt idx="178">
                  <c:v>143707</c:v>
                </c:pt>
                <c:pt idx="179">
                  <c:v>185110.5</c:v>
                </c:pt>
                <c:pt idx="180">
                  <c:v>143902.5</c:v>
                </c:pt>
                <c:pt idx="181">
                  <c:v>143902.5</c:v>
                </c:pt>
                <c:pt idx="182">
                  <c:v>143902.5</c:v>
                </c:pt>
                <c:pt idx="183">
                  <c:v>143902.5</c:v>
                </c:pt>
                <c:pt idx="184">
                  <c:v>143902.5</c:v>
                </c:pt>
                <c:pt idx="185">
                  <c:v>143902.5</c:v>
                </c:pt>
                <c:pt idx="186">
                  <c:v>143902.5</c:v>
                </c:pt>
                <c:pt idx="187">
                  <c:v>143902.5</c:v>
                </c:pt>
                <c:pt idx="188">
                  <c:v>143902.5</c:v>
                </c:pt>
                <c:pt idx="189">
                  <c:v>143902.5</c:v>
                </c:pt>
                <c:pt idx="190">
                  <c:v>143902.5</c:v>
                </c:pt>
                <c:pt idx="191">
                  <c:v>143902.5</c:v>
                </c:pt>
                <c:pt idx="192">
                  <c:v>143902.5</c:v>
                </c:pt>
                <c:pt idx="193">
                  <c:v>143902.5</c:v>
                </c:pt>
                <c:pt idx="194">
                  <c:v>102737</c:v>
                </c:pt>
                <c:pt idx="195">
                  <c:v>144344.5</c:v>
                </c:pt>
                <c:pt idx="196">
                  <c:v>102561</c:v>
                </c:pt>
                <c:pt idx="197">
                  <c:v>143754.5</c:v>
                </c:pt>
                <c:pt idx="198">
                  <c:v>102789</c:v>
                </c:pt>
                <c:pt idx="199">
                  <c:v>143040</c:v>
                </c:pt>
                <c:pt idx="200">
                  <c:v>102931</c:v>
                </c:pt>
                <c:pt idx="201">
                  <c:v>102931</c:v>
                </c:pt>
                <c:pt idx="202">
                  <c:v>102931</c:v>
                </c:pt>
                <c:pt idx="203">
                  <c:v>102931</c:v>
                </c:pt>
                <c:pt idx="204">
                  <c:v>102931</c:v>
                </c:pt>
                <c:pt idx="205">
                  <c:v>102931</c:v>
                </c:pt>
                <c:pt idx="206">
                  <c:v>102931</c:v>
                </c:pt>
                <c:pt idx="207">
                  <c:v>102931</c:v>
                </c:pt>
                <c:pt idx="208">
                  <c:v>102931</c:v>
                </c:pt>
                <c:pt idx="209">
                  <c:v>102931</c:v>
                </c:pt>
                <c:pt idx="210">
                  <c:v>102931</c:v>
                </c:pt>
                <c:pt idx="211">
                  <c:v>102931</c:v>
                </c:pt>
                <c:pt idx="212">
                  <c:v>102931</c:v>
                </c:pt>
                <c:pt idx="213">
                  <c:v>102931</c:v>
                </c:pt>
                <c:pt idx="214">
                  <c:v>102931</c:v>
                </c:pt>
                <c:pt idx="215">
                  <c:v>142508.5</c:v>
                </c:pt>
                <c:pt idx="216">
                  <c:v>142508.5</c:v>
                </c:pt>
                <c:pt idx="217">
                  <c:v>142508.5</c:v>
                </c:pt>
                <c:pt idx="218">
                  <c:v>142508.5</c:v>
                </c:pt>
                <c:pt idx="219">
                  <c:v>142508.5</c:v>
                </c:pt>
                <c:pt idx="220">
                  <c:v>142508.5</c:v>
                </c:pt>
                <c:pt idx="221">
                  <c:v>142508.5</c:v>
                </c:pt>
                <c:pt idx="222">
                  <c:v>102616</c:v>
                </c:pt>
                <c:pt idx="223">
                  <c:v>142469.5</c:v>
                </c:pt>
                <c:pt idx="224">
                  <c:v>102664.5</c:v>
                </c:pt>
                <c:pt idx="225">
                  <c:v>142128</c:v>
                </c:pt>
                <c:pt idx="226">
                  <c:v>142128</c:v>
                </c:pt>
                <c:pt idx="227">
                  <c:v>180949</c:v>
                </c:pt>
                <c:pt idx="228">
                  <c:v>142389.5</c:v>
                </c:pt>
                <c:pt idx="229">
                  <c:v>142389.5</c:v>
                </c:pt>
                <c:pt idx="230">
                  <c:v>142389.5</c:v>
                </c:pt>
                <c:pt idx="231">
                  <c:v>142389.5</c:v>
                </c:pt>
                <c:pt idx="232">
                  <c:v>142389.5</c:v>
                </c:pt>
                <c:pt idx="233">
                  <c:v>142389.5</c:v>
                </c:pt>
                <c:pt idx="234">
                  <c:v>142389.5</c:v>
                </c:pt>
                <c:pt idx="235">
                  <c:v>142389.5</c:v>
                </c:pt>
                <c:pt idx="236">
                  <c:v>180473.5</c:v>
                </c:pt>
                <c:pt idx="237">
                  <c:v>142424</c:v>
                </c:pt>
                <c:pt idx="238">
                  <c:v>142424</c:v>
                </c:pt>
                <c:pt idx="239">
                  <c:v>142424</c:v>
                </c:pt>
                <c:pt idx="240">
                  <c:v>142424</c:v>
                </c:pt>
                <c:pt idx="241">
                  <c:v>142424</c:v>
                </c:pt>
                <c:pt idx="242">
                  <c:v>142424</c:v>
                </c:pt>
                <c:pt idx="243">
                  <c:v>142424</c:v>
                </c:pt>
                <c:pt idx="244">
                  <c:v>179228</c:v>
                </c:pt>
                <c:pt idx="245">
                  <c:v>141527</c:v>
                </c:pt>
                <c:pt idx="246">
                  <c:v>141527</c:v>
                </c:pt>
                <c:pt idx="247">
                  <c:v>102261.5</c:v>
                </c:pt>
                <c:pt idx="248">
                  <c:v>141787</c:v>
                </c:pt>
                <c:pt idx="249">
                  <c:v>102661</c:v>
                </c:pt>
                <c:pt idx="250">
                  <c:v>140762</c:v>
                </c:pt>
                <c:pt idx="251">
                  <c:v>140762</c:v>
                </c:pt>
                <c:pt idx="252">
                  <c:v>102327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A-4580-81EC-3983EB398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4609640"/>
        <c:axId val="754621776"/>
      </c:lineChart>
      <c:catAx>
        <c:axId val="754609640"/>
        <c:scaling>
          <c:orientation val="minMax"/>
        </c:scaling>
        <c:delete val="1"/>
        <c:axPos val="b"/>
        <c:majorTickMark val="out"/>
        <c:minorTickMark val="none"/>
        <c:tickLblPos val="nextTo"/>
        <c:crossAx val="754621776"/>
        <c:crosses val="autoZero"/>
        <c:auto val="1"/>
        <c:lblAlgn val="ctr"/>
        <c:lblOffset val="100"/>
        <c:noMultiLvlLbl val="0"/>
      </c:catAx>
      <c:valAx>
        <c:axId val="754621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54609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2049" name="bt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Quotes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30</xdr:row>
          <xdr:rowOff>0</xdr:rowOff>
        </xdr:to>
        <xdr:sp macro="" textlink="">
          <xdr:nvSpPr>
            <xdr:cNvPr id="1025" name="btn2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2</xdr:row>
      <xdr:rowOff>0</xdr:rowOff>
    </xdr:from>
    <xdr:to>
      <xdr:col>12</xdr:col>
      <xdr:colOff>177800</xdr:colOff>
      <xdr:row>19</xdr:row>
      <xdr:rowOff>44450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20</xdr:col>
      <xdr:colOff>177800</xdr:colOff>
      <xdr:row>30</xdr:row>
      <xdr:rowOff>44450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" backgroundRefresh="0" growShrinkType="overwriteClear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254"/>
  <sheetViews>
    <sheetView tabSelected="1" workbookViewId="0"/>
  </sheetViews>
  <sheetFormatPr defaultRowHeight="14.5" x14ac:dyDescent="0.35"/>
  <cols>
    <col min="1" max="6" width="10.6328125" style="1" customWidth="1"/>
    <col min="7" max="11" width="10.6328125" style="6" customWidth="1"/>
    <col min="12" max="14" width="10.6328125" style="4" customWidth="1"/>
    <col min="15" max="17" width="10.6328125" style="5" customWidth="1"/>
    <col min="18" max="18" width="10.6328125" style="6" customWidth="1"/>
    <col min="19" max="19" width="10.6328125" style="1" customWidth="1"/>
  </cols>
  <sheetData>
    <row r="1" spans="1:19" ht="25" customHeight="1" x14ac:dyDescent="0.35">
      <c r="B1" s="3" t="s">
        <v>28</v>
      </c>
      <c r="C1" s="3" t="s">
        <v>29</v>
      </c>
    </row>
    <row r="2" spans="1:19" x14ac:dyDescent="0.35">
      <c r="A2" s="2" t="s">
        <v>13</v>
      </c>
      <c r="B2" s="2" t="s">
        <v>14</v>
      </c>
      <c r="C2" s="2" t="s">
        <v>15</v>
      </c>
      <c r="D2" s="2" t="s">
        <v>16</v>
      </c>
      <c r="E2" s="2" t="s">
        <v>17</v>
      </c>
      <c r="F2" s="2" t="s">
        <v>18</v>
      </c>
      <c r="G2" s="6" t="s">
        <v>19</v>
      </c>
      <c r="H2" s="6" t="s">
        <v>20</v>
      </c>
      <c r="I2" s="6" t="s">
        <v>21</v>
      </c>
      <c r="J2" s="6" t="s">
        <v>22</v>
      </c>
      <c r="K2" s="6" t="s">
        <v>23</v>
      </c>
      <c r="L2" s="4" t="s">
        <v>24</v>
      </c>
      <c r="M2" s="4" t="s">
        <v>25</v>
      </c>
      <c r="N2" s="4" t="s">
        <v>17</v>
      </c>
      <c r="O2" s="5" t="s">
        <v>26</v>
      </c>
      <c r="P2" s="5" t="s">
        <v>25</v>
      </c>
      <c r="Q2" s="5" t="s">
        <v>17</v>
      </c>
      <c r="R2" s="6" t="s">
        <v>27</v>
      </c>
    </row>
    <row r="3" spans="1:19" s="11" customFormat="1" x14ac:dyDescent="0.35">
      <c r="A3" s="7"/>
      <c r="B3" s="7"/>
      <c r="C3" s="7"/>
      <c r="D3" s="7"/>
      <c r="E3" s="7"/>
      <c r="F3" s="7"/>
      <c r="G3" s="8"/>
      <c r="H3" s="8"/>
      <c r="I3" s="8"/>
      <c r="J3" s="8"/>
      <c r="K3" s="8"/>
      <c r="L3" s="9"/>
      <c r="M3" s="9"/>
      <c r="N3" s="9"/>
      <c r="O3" s="10"/>
      <c r="P3" s="10"/>
      <c r="Q3" s="10"/>
      <c r="R3" s="8"/>
      <c r="S3" s="7"/>
    </row>
    <row r="4" spans="1:19" x14ac:dyDescent="0.35">
      <c r="A4" s="12">
        <v>43039</v>
      </c>
      <c r="B4" s="1">
        <v>1015.22</v>
      </c>
      <c r="C4" s="1">
        <v>1024</v>
      </c>
      <c r="D4" s="1">
        <v>1010.42</v>
      </c>
      <c r="E4" s="1">
        <v>1016.64</v>
      </c>
      <c r="F4" s="1">
        <v>1331391</v>
      </c>
    </row>
    <row r="5" spans="1:19" x14ac:dyDescent="0.35">
      <c r="A5" s="12">
        <v>43038</v>
      </c>
      <c r="B5" s="1">
        <v>1014</v>
      </c>
      <c r="C5" s="1">
        <v>1024.97</v>
      </c>
      <c r="D5" s="1">
        <v>1007.5</v>
      </c>
      <c r="E5" s="1">
        <v>1017.11</v>
      </c>
      <c r="F5" s="1">
        <v>2085062</v>
      </c>
    </row>
    <row r="6" spans="1:19" x14ac:dyDescent="0.35">
      <c r="A6" s="12">
        <v>43035</v>
      </c>
      <c r="B6" s="1">
        <v>1009.19</v>
      </c>
      <c r="C6" s="1">
        <v>1048.3900000000001</v>
      </c>
      <c r="D6" s="1">
        <v>1008.2</v>
      </c>
      <c r="E6" s="1">
        <v>1019.27</v>
      </c>
      <c r="F6" s="1">
        <v>5167689</v>
      </c>
    </row>
    <row r="7" spans="1:19" x14ac:dyDescent="0.35">
      <c r="A7" s="12">
        <v>43034</v>
      </c>
      <c r="B7" s="1">
        <v>980</v>
      </c>
      <c r="C7" s="1">
        <v>987.6</v>
      </c>
      <c r="D7" s="1">
        <v>972.2</v>
      </c>
      <c r="E7" s="1">
        <v>972.56</v>
      </c>
      <c r="F7" s="1">
        <v>2042149</v>
      </c>
    </row>
    <row r="8" spans="1:19" x14ac:dyDescent="0.35">
      <c r="A8" s="12">
        <v>43033</v>
      </c>
      <c r="B8" s="1">
        <v>968.37</v>
      </c>
      <c r="C8" s="1">
        <v>976.09</v>
      </c>
      <c r="D8" s="1">
        <v>960.52</v>
      </c>
      <c r="E8" s="1">
        <v>973.33</v>
      </c>
      <c r="F8" s="1">
        <v>1211262</v>
      </c>
    </row>
    <row r="9" spans="1:19" x14ac:dyDescent="0.35">
      <c r="A9" s="12">
        <v>43032</v>
      </c>
      <c r="B9" s="1">
        <v>970</v>
      </c>
      <c r="C9" s="1">
        <v>972.23</v>
      </c>
      <c r="D9" s="1">
        <v>961</v>
      </c>
      <c r="E9" s="1">
        <v>970.54</v>
      </c>
      <c r="F9" s="1">
        <v>1212153</v>
      </c>
    </row>
    <row r="10" spans="1:19" x14ac:dyDescent="0.35">
      <c r="A10" s="12">
        <v>43031</v>
      </c>
      <c r="B10" s="1">
        <v>989.52</v>
      </c>
      <c r="C10" s="1">
        <v>989.52</v>
      </c>
      <c r="D10" s="1">
        <v>966.12</v>
      </c>
      <c r="E10" s="1">
        <v>968.45</v>
      </c>
      <c r="F10" s="1">
        <v>1478448</v>
      </c>
    </row>
    <row r="11" spans="1:19" x14ac:dyDescent="0.35">
      <c r="A11" s="12">
        <v>43028</v>
      </c>
      <c r="B11" s="1">
        <v>989.44</v>
      </c>
      <c r="C11" s="1">
        <v>991</v>
      </c>
      <c r="D11" s="1">
        <v>984.58</v>
      </c>
      <c r="E11" s="1">
        <v>988.2</v>
      </c>
      <c r="F11" s="1">
        <v>1183186</v>
      </c>
    </row>
    <row r="12" spans="1:19" x14ac:dyDescent="0.35">
      <c r="A12" s="12">
        <v>43027</v>
      </c>
      <c r="B12" s="1">
        <v>986</v>
      </c>
      <c r="C12" s="1">
        <v>988.88</v>
      </c>
      <c r="D12" s="1">
        <v>978.39</v>
      </c>
      <c r="E12" s="1">
        <v>984.45</v>
      </c>
      <c r="F12" s="1">
        <v>1313575</v>
      </c>
    </row>
    <row r="13" spans="1:19" x14ac:dyDescent="0.35">
      <c r="A13" s="12">
        <v>43026</v>
      </c>
      <c r="B13" s="1">
        <v>991.77</v>
      </c>
      <c r="C13" s="1">
        <v>996.72</v>
      </c>
      <c r="D13" s="1">
        <v>986.97</v>
      </c>
      <c r="E13" s="1">
        <v>992.81</v>
      </c>
      <c r="F13" s="1">
        <v>1057581</v>
      </c>
    </row>
    <row r="14" spans="1:19" x14ac:dyDescent="0.35">
      <c r="A14" s="12">
        <v>43025</v>
      </c>
      <c r="B14" s="1">
        <v>990.29</v>
      </c>
      <c r="C14" s="1">
        <v>996.44</v>
      </c>
      <c r="D14" s="1">
        <v>988.59</v>
      </c>
      <c r="E14" s="1">
        <v>992.18</v>
      </c>
      <c r="F14" s="1">
        <v>1290186</v>
      </c>
    </row>
    <row r="15" spans="1:19" x14ac:dyDescent="0.35">
      <c r="A15" s="12">
        <v>43024</v>
      </c>
      <c r="B15" s="1">
        <v>992.1</v>
      </c>
      <c r="C15" s="1">
        <v>993.91</v>
      </c>
      <c r="D15" s="1">
        <v>984</v>
      </c>
      <c r="E15" s="1">
        <v>992</v>
      </c>
      <c r="F15" s="1">
        <v>910543</v>
      </c>
    </row>
    <row r="16" spans="1:19" x14ac:dyDescent="0.35">
      <c r="A16" s="12">
        <v>43021</v>
      </c>
      <c r="B16" s="1">
        <v>992</v>
      </c>
      <c r="C16" s="1">
        <v>997.21</v>
      </c>
      <c r="D16" s="1">
        <v>989</v>
      </c>
      <c r="E16" s="1">
        <v>989.68</v>
      </c>
      <c r="F16" s="1">
        <v>1169777</v>
      </c>
    </row>
    <row r="17" spans="1:18" x14ac:dyDescent="0.35">
      <c r="A17" s="12">
        <v>43020</v>
      </c>
      <c r="B17" s="1">
        <v>987.45</v>
      </c>
      <c r="C17" s="1">
        <v>994.12</v>
      </c>
      <c r="D17" s="1">
        <v>985</v>
      </c>
      <c r="E17" s="1">
        <v>987.83</v>
      </c>
      <c r="F17" s="1">
        <v>1262793</v>
      </c>
    </row>
    <row r="18" spans="1:18" x14ac:dyDescent="0.35">
      <c r="A18" s="12">
        <v>43019</v>
      </c>
      <c r="B18" s="1">
        <v>973.72</v>
      </c>
      <c r="C18" s="1">
        <v>990.71</v>
      </c>
      <c r="D18" s="1">
        <v>972.25</v>
      </c>
      <c r="E18" s="1">
        <v>989.25</v>
      </c>
      <c r="F18" s="1">
        <v>1693274</v>
      </c>
      <c r="H18" s="6">
        <f>MAX(C4:C18)</f>
        <v>1048.3900000000001</v>
      </c>
      <c r="I18" s="6">
        <f>MIN(D4:D18)</f>
        <v>960.52</v>
      </c>
      <c r="J18" s="6">
        <f>(E18-I18)/(H18-I18)*100</f>
        <v>32.696028223511981</v>
      </c>
    </row>
    <row r="19" spans="1:18" x14ac:dyDescent="0.35">
      <c r="A19" s="12">
        <v>43018</v>
      </c>
      <c r="B19" s="1">
        <v>980</v>
      </c>
      <c r="C19" s="1">
        <v>981.57</v>
      </c>
      <c r="D19" s="1">
        <v>966.08</v>
      </c>
      <c r="E19" s="1">
        <v>972.6</v>
      </c>
      <c r="F19" s="1">
        <v>968362</v>
      </c>
      <c r="H19" s="6">
        <f t="shared" ref="H19:H82" si="0">MAX(C5:C19)</f>
        <v>1048.3900000000001</v>
      </c>
      <c r="I19" s="6">
        <f t="shared" ref="I19:I82" si="1">MIN(D5:D19)</f>
        <v>960.52</v>
      </c>
      <c r="J19" s="6">
        <f t="shared" ref="J19:J82" si="2">(E19-I19)/(H19-I19)*100</f>
        <v>13.747581654717225</v>
      </c>
    </row>
    <row r="20" spans="1:18" x14ac:dyDescent="0.35">
      <c r="A20" s="12">
        <v>43017</v>
      </c>
      <c r="B20" s="1">
        <v>980</v>
      </c>
      <c r="C20" s="1">
        <v>985.42</v>
      </c>
      <c r="D20" s="1">
        <v>976.11</v>
      </c>
      <c r="E20" s="1">
        <v>977</v>
      </c>
      <c r="F20" s="1">
        <v>891355</v>
      </c>
      <c r="H20" s="6">
        <f t="shared" si="0"/>
        <v>1048.3900000000001</v>
      </c>
      <c r="I20" s="6">
        <f t="shared" si="1"/>
        <v>960.52</v>
      </c>
      <c r="J20" s="6">
        <f t="shared" si="2"/>
        <v>18.754978946170475</v>
      </c>
      <c r="K20" s="6">
        <f>AVERAGE(J18:J20)</f>
        <v>21.732862941466561</v>
      </c>
    </row>
    <row r="21" spans="1:18" x14ac:dyDescent="0.35">
      <c r="A21" s="12">
        <v>43014</v>
      </c>
      <c r="B21" s="1">
        <v>966.7</v>
      </c>
      <c r="C21" s="1">
        <v>979.46</v>
      </c>
      <c r="D21" s="1">
        <v>963.36</v>
      </c>
      <c r="E21" s="1">
        <v>978.89</v>
      </c>
      <c r="F21" s="1">
        <v>1173882</v>
      </c>
      <c r="H21" s="6">
        <f t="shared" si="0"/>
        <v>997.21</v>
      </c>
      <c r="I21" s="6">
        <f t="shared" si="1"/>
        <v>960.52</v>
      </c>
      <c r="J21" s="6">
        <f t="shared" si="2"/>
        <v>50.06813845734527</v>
      </c>
      <c r="K21" s="6">
        <f t="shared" ref="K21:K84" si="3">AVERAGE(J19:J21)</f>
        <v>27.523566352744325</v>
      </c>
    </row>
    <row r="22" spans="1:18" x14ac:dyDescent="0.35">
      <c r="A22" s="12">
        <v>43013</v>
      </c>
      <c r="B22" s="1">
        <v>955.49</v>
      </c>
      <c r="C22" s="1">
        <v>970.91</v>
      </c>
      <c r="D22" s="1">
        <v>955.18</v>
      </c>
      <c r="E22" s="1">
        <v>969.96</v>
      </c>
      <c r="F22" s="1">
        <v>1213816</v>
      </c>
      <c r="H22" s="6">
        <f t="shared" si="0"/>
        <v>997.21</v>
      </c>
      <c r="I22" s="6">
        <f t="shared" si="1"/>
        <v>955.18</v>
      </c>
      <c r="J22" s="6">
        <f t="shared" si="2"/>
        <v>35.165358077563781</v>
      </c>
      <c r="K22" s="6">
        <f t="shared" si="3"/>
        <v>34.662825160359837</v>
      </c>
    </row>
    <row r="23" spans="1:18" x14ac:dyDescent="0.35">
      <c r="A23" s="12">
        <v>43012</v>
      </c>
      <c r="B23" s="1">
        <v>957</v>
      </c>
      <c r="C23" s="1">
        <v>960.39</v>
      </c>
      <c r="D23" s="1">
        <v>950.69</v>
      </c>
      <c r="E23" s="1">
        <v>951.68</v>
      </c>
      <c r="F23" s="1">
        <v>952391</v>
      </c>
      <c r="H23" s="6">
        <f t="shared" si="0"/>
        <v>997.21</v>
      </c>
      <c r="I23" s="6">
        <f t="shared" si="1"/>
        <v>950.69</v>
      </c>
      <c r="J23" s="6">
        <f t="shared" si="2"/>
        <v>2.1281169389507646</v>
      </c>
      <c r="K23" s="6">
        <f t="shared" si="3"/>
        <v>29.120537824619941</v>
      </c>
    </row>
    <row r="24" spans="1:18" x14ac:dyDescent="0.35">
      <c r="A24" s="12">
        <v>43011</v>
      </c>
      <c r="B24" s="1">
        <v>954</v>
      </c>
      <c r="C24" s="1">
        <v>958</v>
      </c>
      <c r="D24" s="1">
        <v>949.14</v>
      </c>
      <c r="E24" s="1">
        <v>957.79</v>
      </c>
      <c r="F24" s="1">
        <v>888346</v>
      </c>
      <c r="G24" s="6">
        <f>AVERAGE(E4:E24)</f>
        <v>983.91523809523812</v>
      </c>
      <c r="H24" s="6">
        <f t="shared" si="0"/>
        <v>997.21</v>
      </c>
      <c r="I24" s="6">
        <f t="shared" si="1"/>
        <v>949.14</v>
      </c>
      <c r="J24" s="6">
        <f t="shared" si="2"/>
        <v>17.994591221135778</v>
      </c>
      <c r="K24" s="6">
        <f t="shared" si="3"/>
        <v>18.429355412550109</v>
      </c>
      <c r="L24" s="4" t="str">
        <f>IF(AND(E24&gt;G24, J24&gt;'P&amp;L'!$C$23, COUNTIF($L$4:L23, "Long")=COUNTIF($N$4:N23, "Close")), "Long", "")</f>
        <v/>
      </c>
      <c r="M24" s="4" t="str">
        <f>IF(L24="Long", E24*'P&amp;L'!$C$21,"")</f>
        <v/>
      </c>
      <c r="N24" s="4" t="str">
        <f>IF(AND(J24&gt;'P&amp;L'!$C$24, COUNTIF($L$4:L23, "Long") &gt; COUNTIF($N$4:N23, "Close")), "Close", "")</f>
        <v/>
      </c>
      <c r="O24" s="5" t="str">
        <f>IF(AND(E24&lt;G24, J24&lt;'P&amp;L'!$C$24, J23&gt;'P&amp;L'!$C$24, COUNTIF($O$4:O23, "Short")=COUNTIF($Q$4:Q23, "Close")), "Short", "")</f>
        <v/>
      </c>
      <c r="P24" s="5" t="str">
        <f>IF(O24="Short", E24*'P&amp;L'!$C$21, "")</f>
        <v/>
      </c>
      <c r="Q24" s="5" t="str">
        <f>IF(AND(J24&gt;'P&amp;L'!$C$23, COUNTIF($O$4:O23, "Short") &gt; COUNTIF($Q$4:Q23, "Close")), "Close", "")</f>
        <v/>
      </c>
      <c r="R24" s="6">
        <v>10000</v>
      </c>
    </row>
    <row r="25" spans="1:18" x14ac:dyDescent="0.35">
      <c r="A25" s="12">
        <v>43010</v>
      </c>
      <c r="B25" s="1">
        <v>959.98</v>
      </c>
      <c r="C25" s="1">
        <v>962.54</v>
      </c>
      <c r="D25" s="1">
        <v>947.84</v>
      </c>
      <c r="E25" s="1">
        <v>953.27</v>
      </c>
      <c r="F25" s="1">
        <v>1283444</v>
      </c>
      <c r="G25" s="6">
        <f t="shared" ref="G25:G88" si="4">AVERAGE(E5:E25)</f>
        <v>980.89761904761917</v>
      </c>
      <c r="H25" s="6">
        <f t="shared" si="0"/>
        <v>997.21</v>
      </c>
      <c r="I25" s="6">
        <f t="shared" si="1"/>
        <v>947.84</v>
      </c>
      <c r="J25" s="6">
        <f t="shared" si="2"/>
        <v>10.998582134899634</v>
      </c>
      <c r="K25" s="6">
        <f t="shared" si="3"/>
        <v>10.373763431662057</v>
      </c>
      <c r="L25" s="4" t="str">
        <f>IF(AND(E25&gt;G25, J25&gt;'P&amp;L'!$C$23, COUNTIF($L$4:L24, "Long")=COUNTIF($N$4:N24, "Close")), "Long", "")</f>
        <v/>
      </c>
      <c r="M25" s="4" t="str">
        <f>IF(L25="Long", E25*'P&amp;L'!$C$21,"")</f>
        <v/>
      </c>
      <c r="N25" s="4" t="str">
        <f>IF(AND(J25&gt;'P&amp;L'!$C$24, COUNTIF($L$4:L24, "Long") &gt; COUNTIF($N$4:N24, "Close")), "Close", "")</f>
        <v/>
      </c>
      <c r="O25" s="5" t="str">
        <f>IF(AND(E25&lt;G25, J25&lt;'P&amp;L'!$C$24, J24&gt;'P&amp;L'!$C$24, COUNTIF($O$4:O24, "Short")=COUNTIF($Q$4:Q24, "Close")), "Short", "")</f>
        <v/>
      </c>
      <c r="P25" s="5" t="str">
        <f>IF(O25="Short", E25*'P&amp;L'!$C$21, "")</f>
        <v/>
      </c>
      <c r="Q25" s="5" t="str">
        <f>IF(AND(J25&gt;'P&amp;L'!$C$23, COUNTIF($O$4:O24, "Short") &gt; COUNTIF($Q$4:Q24, "Close")), "Close", "")</f>
        <v/>
      </c>
      <c r="R25" s="6">
        <v>10000</v>
      </c>
    </row>
    <row r="26" spans="1:18" x14ac:dyDescent="0.35">
      <c r="A26" s="12">
        <v>43007</v>
      </c>
      <c r="B26" s="1">
        <v>952</v>
      </c>
      <c r="C26" s="1">
        <v>959.79</v>
      </c>
      <c r="D26" s="1">
        <v>951.51</v>
      </c>
      <c r="E26" s="1">
        <v>959.11</v>
      </c>
      <c r="F26" s="1">
        <v>1580994</v>
      </c>
      <c r="G26" s="6">
        <f t="shared" si="4"/>
        <v>978.13571428571436</v>
      </c>
      <c r="H26" s="6">
        <f t="shared" si="0"/>
        <v>997.21</v>
      </c>
      <c r="I26" s="6">
        <f t="shared" si="1"/>
        <v>947.84</v>
      </c>
      <c r="J26" s="6">
        <f t="shared" si="2"/>
        <v>22.827628114239378</v>
      </c>
      <c r="K26" s="6">
        <f t="shared" si="3"/>
        <v>17.273600490091596</v>
      </c>
      <c r="L26" s="4" t="str">
        <f>IF(AND(E26&gt;G26, J26&gt;'P&amp;L'!$C$23, COUNTIF($L$4:L25, "Long")=COUNTIF($N$4:N25, "Close")), "Long", "")</f>
        <v/>
      </c>
      <c r="M26" s="4" t="str">
        <f>IF(L26="Long", E26*'P&amp;L'!$C$21,"")</f>
        <v/>
      </c>
      <c r="N26" s="4" t="str">
        <f>IF(AND(J26&gt;'P&amp;L'!$C$24, COUNTIF($L$4:L25, "Long") &gt; COUNTIF($N$4:N25, "Close")), "Close", "")</f>
        <v/>
      </c>
      <c r="O26" s="5" t="str">
        <f>IF(AND(E26&lt;G26, J26&lt;'P&amp;L'!$C$24, J25&gt;'P&amp;L'!$C$24, COUNTIF($O$4:O25, "Short")=COUNTIF($Q$4:Q25, "Close")), "Short", "")</f>
        <v/>
      </c>
      <c r="P26" s="5" t="str">
        <f>IF(O26="Short", E26*'P&amp;L'!$C$21, "")</f>
        <v/>
      </c>
      <c r="Q26" s="5" t="str">
        <f>IF(AND(J26&gt;'P&amp;L'!$C$23, COUNTIF($O$4:O25, "Short") &gt; COUNTIF($Q$4:Q25, "Close")), "Close", "")</f>
        <v/>
      </c>
      <c r="R26" s="6">
        <v>10000</v>
      </c>
    </row>
    <row r="27" spans="1:18" x14ac:dyDescent="0.35">
      <c r="A27" s="12">
        <v>43006</v>
      </c>
      <c r="B27" s="1">
        <v>941.36</v>
      </c>
      <c r="C27" s="1">
        <v>950.69</v>
      </c>
      <c r="D27" s="1">
        <v>940.55</v>
      </c>
      <c r="E27" s="1">
        <v>949.5</v>
      </c>
      <c r="F27" s="1">
        <v>1020312</v>
      </c>
      <c r="G27" s="6">
        <f t="shared" si="4"/>
        <v>974.81333333333339</v>
      </c>
      <c r="H27" s="6">
        <f t="shared" si="0"/>
        <v>997.21</v>
      </c>
      <c r="I27" s="6">
        <f t="shared" si="1"/>
        <v>940.55</v>
      </c>
      <c r="J27" s="6">
        <f t="shared" si="2"/>
        <v>15.795975997176196</v>
      </c>
      <c r="K27" s="6">
        <f t="shared" si="3"/>
        <v>16.540728748771738</v>
      </c>
      <c r="L27" s="4" t="str">
        <f>IF(AND(E27&gt;G27, J27&gt;'P&amp;L'!$C$23, COUNTIF($L$4:L26, "Long")=COUNTIF($N$4:N26, "Close")), "Long", "")</f>
        <v/>
      </c>
      <c r="M27" s="4" t="str">
        <f>IF(L27="Long", E27*'P&amp;L'!$C$21,"")</f>
        <v/>
      </c>
      <c r="N27" s="4" t="str">
        <f>IF(AND(J27&gt;'P&amp;L'!$C$24, COUNTIF($L$4:L26, "Long") &gt; COUNTIF($N$4:N26, "Close")), "Close", "")</f>
        <v/>
      </c>
      <c r="O27" s="5" t="str">
        <f>IF(AND(E27&lt;G27, J27&lt;'P&amp;L'!$C$24, J26&gt;'P&amp;L'!$C$24, COUNTIF($O$4:O26, "Short")=COUNTIF($Q$4:Q26, "Close")), "Short", "")</f>
        <v/>
      </c>
      <c r="P27" s="5" t="str">
        <f>IF(O27="Short", E27*'P&amp;L'!$C$21, "")</f>
        <v/>
      </c>
      <c r="Q27" s="5" t="str">
        <f>IF(AND(J27&gt;'P&amp;L'!$C$23, COUNTIF($O$4:O26, "Short") &gt; COUNTIF($Q$4:Q26, "Close")), "Close", "")</f>
        <v/>
      </c>
      <c r="R27" s="6">
        <v>10000</v>
      </c>
    </row>
    <row r="28" spans="1:18" x14ac:dyDescent="0.35">
      <c r="A28" s="12">
        <v>43005</v>
      </c>
      <c r="B28" s="1">
        <v>927.74</v>
      </c>
      <c r="C28" s="1">
        <v>949.9</v>
      </c>
      <c r="D28" s="1">
        <v>927.74</v>
      </c>
      <c r="E28" s="1">
        <v>944.49</v>
      </c>
      <c r="F28" s="1">
        <v>2212600</v>
      </c>
      <c r="G28" s="6">
        <f t="shared" si="4"/>
        <v>973.4766666666668</v>
      </c>
      <c r="H28" s="6">
        <f t="shared" si="0"/>
        <v>997.21</v>
      </c>
      <c r="I28" s="6">
        <f t="shared" si="1"/>
        <v>927.74</v>
      </c>
      <c r="J28" s="6">
        <f t="shared" si="2"/>
        <v>24.111127105225265</v>
      </c>
      <c r="K28" s="6">
        <f t="shared" si="3"/>
        <v>20.911577072213614</v>
      </c>
      <c r="L28" s="4" t="str">
        <f>IF(AND(E28&gt;G28, J28&gt;'P&amp;L'!$C$23, COUNTIF($L$4:L27, "Long")=COUNTIF($N$4:N27, "Close")), "Long", "")</f>
        <v/>
      </c>
      <c r="M28" s="4" t="str">
        <f>IF(L28="Long", E28*'P&amp;L'!$C$21,"")</f>
        <v/>
      </c>
      <c r="N28" s="4" t="str">
        <f>IF(AND(J28&gt;'P&amp;L'!$C$24, COUNTIF($L$4:L27, "Long") &gt; COUNTIF($N$4:N27, "Close")), "Close", "")</f>
        <v/>
      </c>
      <c r="O28" s="5" t="str">
        <f>IF(AND(E28&lt;G28, J28&lt;'P&amp;L'!$C$24, J27&gt;'P&amp;L'!$C$24, COUNTIF($O$4:O27, "Short")=COUNTIF($Q$4:Q27, "Close")), "Short", "")</f>
        <v/>
      </c>
      <c r="P28" s="5" t="str">
        <f>IF(O28="Short", E28*'P&amp;L'!$C$21, "")</f>
        <v/>
      </c>
      <c r="Q28" s="5" t="str">
        <f>IF(AND(J28&gt;'P&amp;L'!$C$23, COUNTIF($O$4:O27, "Short") &gt; COUNTIF($Q$4:Q27, "Close")), "Close", "")</f>
        <v/>
      </c>
      <c r="R28" s="6">
        <v>10000</v>
      </c>
    </row>
    <row r="29" spans="1:18" x14ac:dyDescent="0.35">
      <c r="A29" s="12">
        <v>43004</v>
      </c>
      <c r="B29" s="1">
        <v>923.72</v>
      </c>
      <c r="C29" s="1">
        <v>930.82</v>
      </c>
      <c r="D29" s="1">
        <v>921.14</v>
      </c>
      <c r="E29" s="1">
        <v>924.86</v>
      </c>
      <c r="F29" s="1">
        <v>1666861</v>
      </c>
      <c r="G29" s="6">
        <f t="shared" si="4"/>
        <v>971.16857142857168</v>
      </c>
      <c r="H29" s="6">
        <f t="shared" si="0"/>
        <v>997.21</v>
      </c>
      <c r="I29" s="6">
        <f t="shared" si="1"/>
        <v>921.14</v>
      </c>
      <c r="J29" s="6">
        <f t="shared" si="2"/>
        <v>4.8902326804259566</v>
      </c>
      <c r="K29" s="6">
        <f t="shared" si="3"/>
        <v>14.932445260942472</v>
      </c>
      <c r="L29" s="4" t="str">
        <f>IF(AND(E29&gt;G29, J29&gt;'P&amp;L'!$C$23, COUNTIF($L$4:L28, "Long")=COUNTIF($N$4:N28, "Close")), "Long", "")</f>
        <v/>
      </c>
      <c r="M29" s="4" t="str">
        <f>IF(L29="Long", E29*'P&amp;L'!$C$21,"")</f>
        <v/>
      </c>
      <c r="N29" s="4" t="str">
        <f>IF(AND(J29&gt;'P&amp;L'!$C$24, COUNTIF($L$4:L28, "Long") &gt; COUNTIF($N$4:N28, "Close")), "Close", "")</f>
        <v/>
      </c>
      <c r="O29" s="5" t="str">
        <f>IF(AND(E29&lt;G29, J29&lt;'P&amp;L'!$C$24, J28&gt;'P&amp;L'!$C$24, COUNTIF($O$4:O28, "Short")=COUNTIF($Q$4:Q28, "Close")), "Short", "")</f>
        <v/>
      </c>
      <c r="P29" s="5" t="str">
        <f>IF(O29="Short", E29*'P&amp;L'!$C$21, "")</f>
        <v/>
      </c>
      <c r="Q29" s="5" t="str">
        <f>IF(AND(J29&gt;'P&amp;L'!$C$23, COUNTIF($O$4:O28, "Short") &gt; COUNTIF($Q$4:Q28, "Close")), "Close", "")</f>
        <v/>
      </c>
      <c r="R29" s="6">
        <v>10000</v>
      </c>
    </row>
    <row r="30" spans="1:18" x14ac:dyDescent="0.35">
      <c r="A30" s="12">
        <v>43003</v>
      </c>
      <c r="B30" s="1">
        <v>925.45</v>
      </c>
      <c r="C30" s="1">
        <v>926.4</v>
      </c>
      <c r="D30" s="1">
        <v>909.7</v>
      </c>
      <c r="E30" s="1">
        <v>920.97</v>
      </c>
      <c r="F30" s="1">
        <v>1856822</v>
      </c>
      <c r="G30" s="6">
        <f t="shared" si="4"/>
        <v>968.80809523809546</v>
      </c>
      <c r="H30" s="6">
        <f t="shared" si="0"/>
        <v>997.21</v>
      </c>
      <c r="I30" s="6">
        <f t="shared" si="1"/>
        <v>909.7</v>
      </c>
      <c r="J30" s="6">
        <f t="shared" si="2"/>
        <v>12.878528168209327</v>
      </c>
      <c r="K30" s="6">
        <f t="shared" si="3"/>
        <v>13.959962651286849</v>
      </c>
      <c r="L30" s="4" t="str">
        <f>IF(AND(E30&gt;G30, J30&gt;'P&amp;L'!$C$23, COUNTIF($L$4:L29, "Long")=COUNTIF($N$4:N29, "Close")), "Long", "")</f>
        <v/>
      </c>
      <c r="M30" s="4" t="str">
        <f>IF(L30="Long", E30*'P&amp;L'!$C$21,"")</f>
        <v/>
      </c>
      <c r="N30" s="4" t="str">
        <f>IF(AND(J30&gt;'P&amp;L'!$C$24, COUNTIF($L$4:L29, "Long") &gt; COUNTIF($N$4:N29, "Close")), "Close", "")</f>
        <v/>
      </c>
      <c r="O30" s="5" t="str">
        <f>IF(AND(E30&lt;G30, J30&lt;'P&amp;L'!$C$24, J29&gt;'P&amp;L'!$C$24, COUNTIF($O$4:O29, "Short")=COUNTIF($Q$4:Q29, "Close")), "Short", "")</f>
        <v/>
      </c>
      <c r="P30" s="5" t="str">
        <f>IF(O30="Short", E30*'P&amp;L'!$C$21, "")</f>
        <v/>
      </c>
      <c r="Q30" s="5" t="str">
        <f>IF(AND(J30&gt;'P&amp;L'!$C$23, COUNTIF($O$4:O29, "Short") &gt; COUNTIF($Q$4:Q29, "Close")), "Close", "")</f>
        <v/>
      </c>
      <c r="R30" s="6">
        <v>10000</v>
      </c>
    </row>
    <row r="31" spans="1:18" x14ac:dyDescent="0.35">
      <c r="A31" s="12">
        <v>43000</v>
      </c>
      <c r="B31" s="1">
        <v>927.75</v>
      </c>
      <c r="C31" s="1">
        <v>934.73</v>
      </c>
      <c r="D31" s="1">
        <v>926.48</v>
      </c>
      <c r="E31" s="1">
        <v>928.53</v>
      </c>
      <c r="F31" s="1">
        <v>1052704</v>
      </c>
      <c r="G31" s="6">
        <f t="shared" si="4"/>
        <v>966.90714285714296</v>
      </c>
      <c r="H31" s="6">
        <f t="shared" si="0"/>
        <v>994.12</v>
      </c>
      <c r="I31" s="6">
        <f t="shared" si="1"/>
        <v>909.7</v>
      </c>
      <c r="J31" s="6">
        <f t="shared" si="2"/>
        <v>22.305140961857305</v>
      </c>
      <c r="K31" s="6">
        <f t="shared" si="3"/>
        <v>13.357967270164195</v>
      </c>
      <c r="L31" s="4" t="str">
        <f>IF(AND(E31&gt;G31, J31&gt;'P&amp;L'!$C$23, COUNTIF($L$4:L30, "Long")=COUNTIF($N$4:N30, "Close")), "Long", "")</f>
        <v/>
      </c>
      <c r="M31" s="4" t="str">
        <f>IF(L31="Long", E31*'P&amp;L'!$C$21,"")</f>
        <v/>
      </c>
      <c r="N31" s="4" t="str">
        <f>IF(AND(J31&gt;'P&amp;L'!$C$24, COUNTIF($L$4:L30, "Long") &gt; COUNTIF($N$4:N30, "Close")), "Close", "")</f>
        <v/>
      </c>
      <c r="O31" s="5" t="str">
        <f>IF(AND(E31&lt;G31, J31&lt;'P&amp;L'!$C$24, J30&gt;'P&amp;L'!$C$24, COUNTIF($O$4:O30, "Short")=COUNTIF($Q$4:Q30, "Close")), "Short", "")</f>
        <v/>
      </c>
      <c r="P31" s="5" t="str">
        <f>IF(O31="Short", E31*'P&amp;L'!$C$21, "")</f>
        <v/>
      </c>
      <c r="Q31" s="5" t="str">
        <f>IF(AND(J31&gt;'P&amp;L'!$C$23, COUNTIF($O$4:O30, "Short") &gt; COUNTIF($Q$4:Q30, "Close")), "Close", "")</f>
        <v/>
      </c>
      <c r="R31" s="6">
        <v>10000</v>
      </c>
    </row>
    <row r="32" spans="1:18" x14ac:dyDescent="0.35">
      <c r="A32" s="12">
        <v>42999</v>
      </c>
      <c r="B32" s="1">
        <v>933</v>
      </c>
      <c r="C32" s="1">
        <v>936.53</v>
      </c>
      <c r="D32" s="1">
        <v>923.83</v>
      </c>
      <c r="E32" s="1">
        <v>932.45</v>
      </c>
      <c r="F32" s="1">
        <v>1290607</v>
      </c>
      <c r="G32" s="6">
        <f t="shared" si="4"/>
        <v>964.25238095238115</v>
      </c>
      <c r="H32" s="6">
        <f t="shared" si="0"/>
        <v>990.71</v>
      </c>
      <c r="I32" s="6">
        <f t="shared" si="1"/>
        <v>909.7</v>
      </c>
      <c r="J32" s="6">
        <f t="shared" si="2"/>
        <v>28.082952721886191</v>
      </c>
      <c r="K32" s="6">
        <f t="shared" si="3"/>
        <v>21.088873950650939</v>
      </c>
      <c r="L32" s="4" t="str">
        <f>IF(AND(E32&gt;G32, J32&gt;'P&amp;L'!$C$23, COUNTIF($L$4:L31, "Long")=COUNTIF($N$4:N31, "Close")), "Long", "")</f>
        <v/>
      </c>
      <c r="M32" s="4" t="str">
        <f>IF(L32="Long", E32*'P&amp;L'!$C$21,"")</f>
        <v/>
      </c>
      <c r="N32" s="4" t="str">
        <f>IF(AND(J32&gt;'P&amp;L'!$C$24, COUNTIF($L$4:L31, "Long") &gt; COUNTIF($N$4:N31, "Close")), "Close", "")</f>
        <v/>
      </c>
      <c r="O32" s="5" t="str">
        <f>IF(AND(E32&lt;G32, J32&lt;'P&amp;L'!$C$24, J31&gt;'P&amp;L'!$C$24, COUNTIF($O$4:O31, "Short")=COUNTIF($Q$4:Q31, "Close")), "Short", "")</f>
        <v/>
      </c>
      <c r="P32" s="5" t="str">
        <f>IF(O32="Short", E32*'P&amp;L'!$C$21, "")</f>
        <v/>
      </c>
      <c r="Q32" s="5" t="str">
        <f>IF(AND(J32&gt;'P&amp;L'!$C$23, COUNTIF($O$4:O31, "Short") &gt; COUNTIF($Q$4:Q31, "Close")), "Close", "")</f>
        <v/>
      </c>
      <c r="R32" s="6">
        <v>10000</v>
      </c>
    </row>
    <row r="33" spans="1:18" x14ac:dyDescent="0.35">
      <c r="A33" s="12">
        <v>42998</v>
      </c>
      <c r="B33" s="1">
        <v>922.98</v>
      </c>
      <c r="C33" s="1">
        <v>933.88</v>
      </c>
      <c r="D33" s="1">
        <v>922</v>
      </c>
      <c r="E33" s="1">
        <v>931.58</v>
      </c>
      <c r="F33" s="1">
        <v>1669763</v>
      </c>
      <c r="G33" s="6">
        <f t="shared" si="4"/>
        <v>961.73476190476208</v>
      </c>
      <c r="H33" s="6">
        <f t="shared" si="0"/>
        <v>985.42</v>
      </c>
      <c r="I33" s="6">
        <f t="shared" si="1"/>
        <v>909.7</v>
      </c>
      <c r="J33" s="6">
        <f t="shared" si="2"/>
        <v>28.895932382461726</v>
      </c>
      <c r="K33" s="6">
        <f t="shared" si="3"/>
        <v>26.428008688735073</v>
      </c>
      <c r="L33" s="4" t="str">
        <f>IF(AND(E33&gt;G33, J33&gt;'P&amp;L'!$C$23, COUNTIF($L$4:L32, "Long")=COUNTIF($N$4:N32, "Close")), "Long", "")</f>
        <v/>
      </c>
      <c r="M33" s="4" t="str">
        <f>IF(L33="Long", E33*'P&amp;L'!$C$21,"")</f>
        <v/>
      </c>
      <c r="N33" s="4" t="str">
        <f>IF(AND(J33&gt;'P&amp;L'!$C$24, COUNTIF($L$4:L32, "Long") &gt; COUNTIF($N$4:N32, "Close")), "Close", "")</f>
        <v/>
      </c>
      <c r="O33" s="5" t="str">
        <f>IF(AND(E33&lt;G33, J33&lt;'P&amp;L'!$C$24, J32&gt;'P&amp;L'!$C$24, COUNTIF($O$4:O32, "Short")=COUNTIF($Q$4:Q32, "Close")), "Short", "")</f>
        <v/>
      </c>
      <c r="P33" s="5" t="str">
        <f>IF(O33="Short", E33*'P&amp;L'!$C$21, "")</f>
        <v/>
      </c>
      <c r="Q33" s="5" t="str">
        <f>IF(AND(J33&gt;'P&amp;L'!$C$23, COUNTIF($O$4:O32, "Short") &gt; COUNTIF($Q$4:Q32, "Close")), "Close", "")</f>
        <v/>
      </c>
      <c r="R33" s="6">
        <v>10000</v>
      </c>
    </row>
    <row r="34" spans="1:18" x14ac:dyDescent="0.35">
      <c r="A34" s="12">
        <v>42997</v>
      </c>
      <c r="B34" s="1">
        <v>917.42</v>
      </c>
      <c r="C34" s="1">
        <v>922.42</v>
      </c>
      <c r="D34" s="1">
        <v>912.55</v>
      </c>
      <c r="E34" s="1">
        <v>921.81</v>
      </c>
      <c r="F34" s="1">
        <v>936654</v>
      </c>
      <c r="G34" s="6">
        <f t="shared" si="4"/>
        <v>958.35380952380967</v>
      </c>
      <c r="H34" s="6">
        <f t="shared" si="0"/>
        <v>985.42</v>
      </c>
      <c r="I34" s="6">
        <f t="shared" si="1"/>
        <v>909.7</v>
      </c>
      <c r="J34" s="6">
        <f t="shared" si="2"/>
        <v>15.993132593766394</v>
      </c>
      <c r="K34" s="6">
        <f t="shared" si="3"/>
        <v>24.324005899371439</v>
      </c>
      <c r="L34" s="4" t="str">
        <f>IF(AND(E34&gt;G34, J34&gt;'P&amp;L'!$C$23, COUNTIF($L$4:L33, "Long")=COUNTIF($N$4:N33, "Close")), "Long", "")</f>
        <v/>
      </c>
      <c r="M34" s="4" t="str">
        <f>IF(L34="Long", E34*'P&amp;L'!$C$21,"")</f>
        <v/>
      </c>
      <c r="N34" s="4" t="str">
        <f>IF(AND(J34&gt;'P&amp;L'!$C$24, COUNTIF($L$4:L33, "Long") &gt; COUNTIF($N$4:N33, "Close")), "Close", "")</f>
        <v/>
      </c>
      <c r="O34" s="5" t="str">
        <f>IF(AND(E34&lt;G34, J34&lt;'P&amp;L'!$C$24, J33&gt;'P&amp;L'!$C$24, COUNTIF($O$4:O33, "Short")=COUNTIF($Q$4:Q33, "Close")), "Short", "")</f>
        <v/>
      </c>
      <c r="P34" s="5" t="str">
        <f>IF(O34="Short", E34*'P&amp;L'!$C$21, "")</f>
        <v/>
      </c>
      <c r="Q34" s="5" t="str">
        <f>IF(AND(J34&gt;'P&amp;L'!$C$23, COUNTIF($O$4:O33, "Short") &gt; COUNTIF($Q$4:Q33, "Close")), "Close", "")</f>
        <v/>
      </c>
      <c r="R34" s="6">
        <v>10000</v>
      </c>
    </row>
    <row r="35" spans="1:18" x14ac:dyDescent="0.35">
      <c r="A35" s="12">
        <v>42996</v>
      </c>
      <c r="B35" s="1">
        <v>920.01</v>
      </c>
      <c r="C35" s="1">
        <v>922.08</v>
      </c>
      <c r="D35" s="1">
        <v>910.6</v>
      </c>
      <c r="E35" s="1">
        <v>915</v>
      </c>
      <c r="F35" s="1">
        <v>1306922</v>
      </c>
      <c r="G35" s="6">
        <f t="shared" si="4"/>
        <v>954.67857142857156</v>
      </c>
      <c r="H35" s="6">
        <f t="shared" si="0"/>
        <v>979.46</v>
      </c>
      <c r="I35" s="6">
        <f t="shared" si="1"/>
        <v>909.7</v>
      </c>
      <c r="J35" s="6">
        <f t="shared" si="2"/>
        <v>7.5974770642201195</v>
      </c>
      <c r="K35" s="6">
        <f t="shared" si="3"/>
        <v>17.495514013482747</v>
      </c>
      <c r="L35" s="4" t="str">
        <f>IF(AND(E35&gt;G35, J35&gt;'P&amp;L'!$C$23, COUNTIF($L$4:L34, "Long")=COUNTIF($N$4:N34, "Close")), "Long", "")</f>
        <v/>
      </c>
      <c r="M35" s="4" t="str">
        <f>IF(L35="Long", E35*'P&amp;L'!$C$21,"")</f>
        <v/>
      </c>
      <c r="N35" s="4" t="str">
        <f>IF(AND(J35&gt;'P&amp;L'!$C$24, COUNTIF($L$4:L34, "Long") &gt; COUNTIF($N$4:N34, "Close")), "Close", "")</f>
        <v/>
      </c>
      <c r="O35" s="5" t="str">
        <f>IF(AND(E35&lt;G35, J35&lt;'P&amp;L'!$C$24, J34&gt;'P&amp;L'!$C$24, COUNTIF($O$4:O34, "Short")=COUNTIF($Q$4:Q34, "Close")), "Short", "")</f>
        <v/>
      </c>
      <c r="P35" s="5" t="str">
        <f>IF(O35="Short", E35*'P&amp;L'!$C$21, "")</f>
        <v/>
      </c>
      <c r="Q35" s="5" t="str">
        <f>IF(AND(J35&gt;'P&amp;L'!$C$23, COUNTIF($O$4:O34, "Short") &gt; COUNTIF($Q$4:Q34, "Close")), "Close", "")</f>
        <v/>
      </c>
      <c r="R35" s="6">
        <v>10000</v>
      </c>
    </row>
    <row r="36" spans="1:18" x14ac:dyDescent="0.35">
      <c r="A36" s="12">
        <v>42993</v>
      </c>
      <c r="B36" s="1">
        <v>924.66</v>
      </c>
      <c r="C36" s="1">
        <v>926.49</v>
      </c>
      <c r="D36" s="1">
        <v>916.36</v>
      </c>
      <c r="E36" s="1">
        <v>920.29</v>
      </c>
      <c r="F36" s="1">
        <v>2505430</v>
      </c>
      <c r="G36" s="6">
        <f t="shared" si="4"/>
        <v>951.26380952380975</v>
      </c>
      <c r="H36" s="6">
        <f t="shared" si="0"/>
        <v>970.91</v>
      </c>
      <c r="I36" s="6">
        <f t="shared" si="1"/>
        <v>909.7</v>
      </c>
      <c r="J36" s="6">
        <f t="shared" si="2"/>
        <v>17.301094592386754</v>
      </c>
      <c r="K36" s="6">
        <f t="shared" si="3"/>
        <v>13.630568083457755</v>
      </c>
      <c r="L36" s="4" t="str">
        <f>IF(AND(E36&gt;G36, J36&gt;'P&amp;L'!$C$23, COUNTIF($L$4:L35, "Long")=COUNTIF($N$4:N35, "Close")), "Long", "")</f>
        <v/>
      </c>
      <c r="M36" s="4" t="str">
        <f>IF(L36="Long", E36*'P&amp;L'!$C$21,"")</f>
        <v/>
      </c>
      <c r="N36" s="4" t="str">
        <f>IF(AND(J36&gt;'P&amp;L'!$C$24, COUNTIF($L$4:L35, "Long") &gt; COUNTIF($N$4:N35, "Close")), "Close", "")</f>
        <v/>
      </c>
      <c r="O36" s="5" t="str">
        <f>IF(AND(E36&lt;G36, J36&lt;'P&amp;L'!$C$24, J35&gt;'P&amp;L'!$C$24, COUNTIF($O$4:O35, "Short")=COUNTIF($Q$4:Q35, "Close")), "Short", "")</f>
        <v/>
      </c>
      <c r="P36" s="5" t="str">
        <f>IF(O36="Short", E36*'P&amp;L'!$C$21, "")</f>
        <v/>
      </c>
      <c r="Q36" s="5" t="str">
        <f>IF(AND(J36&gt;'P&amp;L'!$C$23, COUNTIF($O$4:O35, "Short") &gt; COUNTIF($Q$4:Q35, "Close")), "Close", "")</f>
        <v/>
      </c>
      <c r="R36" s="6">
        <v>10000</v>
      </c>
    </row>
    <row r="37" spans="1:18" x14ac:dyDescent="0.35">
      <c r="A37" s="12">
        <v>42992</v>
      </c>
      <c r="B37" s="1">
        <v>931.25</v>
      </c>
      <c r="C37" s="1">
        <v>932.77</v>
      </c>
      <c r="D37" s="1">
        <v>924</v>
      </c>
      <c r="E37" s="1">
        <v>925.11</v>
      </c>
      <c r="F37" s="1">
        <v>1397644</v>
      </c>
      <c r="G37" s="6">
        <f t="shared" si="4"/>
        <v>948.18904761904787</v>
      </c>
      <c r="H37" s="6">
        <f t="shared" si="0"/>
        <v>962.54</v>
      </c>
      <c r="I37" s="6">
        <f t="shared" si="1"/>
        <v>909.7</v>
      </c>
      <c r="J37" s="6">
        <f t="shared" si="2"/>
        <v>29.163512490537457</v>
      </c>
      <c r="K37" s="6">
        <f t="shared" si="3"/>
        <v>18.020694715714779</v>
      </c>
      <c r="L37" s="4" t="str">
        <f>IF(AND(E37&gt;G37, J37&gt;'P&amp;L'!$C$23, COUNTIF($L$4:L36, "Long")=COUNTIF($N$4:N36, "Close")), "Long", "")</f>
        <v/>
      </c>
      <c r="M37" s="4" t="str">
        <f>IF(L37="Long", E37*'P&amp;L'!$C$21,"")</f>
        <v/>
      </c>
      <c r="N37" s="4" t="str">
        <f>IF(AND(J37&gt;'P&amp;L'!$C$24, COUNTIF($L$4:L36, "Long") &gt; COUNTIF($N$4:N36, "Close")), "Close", "")</f>
        <v/>
      </c>
      <c r="O37" s="5" t="str">
        <f>IF(AND(E37&lt;G37, J37&lt;'P&amp;L'!$C$24, J36&gt;'P&amp;L'!$C$24, COUNTIF($O$4:O36, "Short")=COUNTIF($Q$4:Q36, "Close")), "Short", "")</f>
        <v/>
      </c>
      <c r="P37" s="5" t="str">
        <f>IF(O37="Short", E37*'P&amp;L'!$C$21, "")</f>
        <v/>
      </c>
      <c r="Q37" s="5" t="str">
        <f>IF(AND(J37&gt;'P&amp;L'!$C$23, COUNTIF($O$4:O36, "Short") &gt; COUNTIF($Q$4:Q36, "Close")), "Close", "")</f>
        <v/>
      </c>
      <c r="R37" s="6">
        <v>10000</v>
      </c>
    </row>
    <row r="38" spans="1:18" x14ac:dyDescent="0.35">
      <c r="A38" s="12">
        <v>42991</v>
      </c>
      <c r="B38" s="1">
        <v>930.66</v>
      </c>
      <c r="C38" s="1">
        <v>937.25</v>
      </c>
      <c r="D38" s="1">
        <v>929.86</v>
      </c>
      <c r="E38" s="1">
        <v>935.09</v>
      </c>
      <c r="F38" s="1">
        <v>1102631</v>
      </c>
      <c r="G38" s="6">
        <f t="shared" si="4"/>
        <v>945.67761904761915</v>
      </c>
      <c r="H38" s="6">
        <f t="shared" si="0"/>
        <v>962.54</v>
      </c>
      <c r="I38" s="6">
        <f t="shared" si="1"/>
        <v>909.7</v>
      </c>
      <c r="J38" s="6">
        <f t="shared" si="2"/>
        <v>48.050719152157505</v>
      </c>
      <c r="K38" s="6">
        <f t="shared" si="3"/>
        <v>31.50510874502724</v>
      </c>
      <c r="L38" s="4" t="str">
        <f>IF(AND(E38&gt;G38, J38&gt;'P&amp;L'!$C$23, COUNTIF($L$4:L37, "Long")=COUNTIF($N$4:N37, "Close")), "Long", "")</f>
        <v/>
      </c>
      <c r="M38" s="4" t="str">
        <f>IF(L38="Long", E38*'P&amp;L'!$C$21,"")</f>
        <v/>
      </c>
      <c r="N38" s="4" t="str">
        <f>IF(AND(J38&gt;'P&amp;L'!$C$24, COUNTIF($L$4:L37, "Long") &gt; COUNTIF($N$4:N37, "Close")), "Close", "")</f>
        <v/>
      </c>
      <c r="O38" s="5" t="str">
        <f>IF(AND(E38&lt;G38, J38&lt;'P&amp;L'!$C$24, J37&gt;'P&amp;L'!$C$24, COUNTIF($O$4:O37, "Short")=COUNTIF($Q$4:Q37, "Close")), "Short", "")</f>
        <v/>
      </c>
      <c r="P38" s="5" t="str">
        <f>IF(O38="Short", E38*'P&amp;L'!$C$21, "")</f>
        <v/>
      </c>
      <c r="Q38" s="5" t="str">
        <f>IF(AND(J38&gt;'P&amp;L'!$C$23, COUNTIF($O$4:O37, "Short") &gt; COUNTIF($Q$4:Q37, "Close")), "Close", "")</f>
        <v/>
      </c>
      <c r="R38" s="6">
        <v>10000</v>
      </c>
    </row>
    <row r="39" spans="1:18" x14ac:dyDescent="0.35">
      <c r="A39" s="12">
        <v>42990</v>
      </c>
      <c r="B39" s="1">
        <v>932.59</v>
      </c>
      <c r="C39" s="1">
        <v>933.48</v>
      </c>
      <c r="D39" s="1">
        <v>923.86</v>
      </c>
      <c r="E39" s="1">
        <v>932.07</v>
      </c>
      <c r="F39" s="1">
        <v>1134397</v>
      </c>
      <c r="G39" s="6">
        <f t="shared" si="4"/>
        <v>942.95476190476188</v>
      </c>
      <c r="H39" s="6">
        <f t="shared" si="0"/>
        <v>962.54</v>
      </c>
      <c r="I39" s="6">
        <f t="shared" si="1"/>
        <v>909.7</v>
      </c>
      <c r="J39" s="6">
        <f t="shared" si="2"/>
        <v>42.335352006056091</v>
      </c>
      <c r="K39" s="6">
        <f t="shared" si="3"/>
        <v>39.849861216250353</v>
      </c>
      <c r="L39" s="4" t="str">
        <f>IF(AND(E39&gt;G39, J39&gt;'P&amp;L'!$C$23, COUNTIF($L$4:L38, "Long")=COUNTIF($N$4:N38, "Close")), "Long", "")</f>
        <v/>
      </c>
      <c r="M39" s="4" t="str">
        <f>IF(L39="Long", E39*'P&amp;L'!$C$21,"")</f>
        <v/>
      </c>
      <c r="N39" s="4" t="str">
        <f>IF(AND(J39&gt;'P&amp;L'!$C$24, COUNTIF($L$4:L38, "Long") &gt; COUNTIF($N$4:N38, "Close")), "Close", "")</f>
        <v/>
      </c>
      <c r="O39" s="5" t="str">
        <f>IF(AND(E39&lt;G39, J39&lt;'P&amp;L'!$C$24, J38&gt;'P&amp;L'!$C$24, COUNTIF($O$4:O38, "Short")=COUNTIF($Q$4:Q38, "Close")), "Short", "")</f>
        <v/>
      </c>
      <c r="P39" s="5" t="str">
        <f>IF(O39="Short", E39*'P&amp;L'!$C$21, "")</f>
        <v/>
      </c>
      <c r="Q39" s="5" t="str">
        <f>IF(AND(J39&gt;'P&amp;L'!$C$23, COUNTIF($O$4:O38, "Short") &gt; COUNTIF($Q$4:Q38, "Close")), "Close", "")</f>
        <v/>
      </c>
      <c r="R39" s="6">
        <v>10000</v>
      </c>
    </row>
    <row r="40" spans="1:18" x14ac:dyDescent="0.35">
      <c r="A40" s="12">
        <v>42989</v>
      </c>
      <c r="B40" s="1">
        <v>934.25</v>
      </c>
      <c r="C40" s="1">
        <v>938.38</v>
      </c>
      <c r="D40" s="1">
        <v>926.92</v>
      </c>
      <c r="E40" s="1">
        <v>929.08</v>
      </c>
      <c r="F40" s="1">
        <v>1266991</v>
      </c>
      <c r="G40" s="6">
        <f t="shared" si="4"/>
        <v>940.88238095238103</v>
      </c>
      <c r="H40" s="6">
        <f t="shared" si="0"/>
        <v>959.79</v>
      </c>
      <c r="I40" s="6">
        <f t="shared" si="1"/>
        <v>909.7</v>
      </c>
      <c r="J40" s="6">
        <f t="shared" si="2"/>
        <v>38.690357356757886</v>
      </c>
      <c r="K40" s="6">
        <f t="shared" si="3"/>
        <v>43.025476171657168</v>
      </c>
      <c r="L40" s="4" t="str">
        <f>IF(AND(E40&gt;G40, J40&gt;'P&amp;L'!$C$23, COUNTIF($L$4:L39, "Long")=COUNTIF($N$4:N39, "Close")), "Long", "")</f>
        <v/>
      </c>
      <c r="M40" s="4" t="str">
        <f>IF(L40="Long", E40*'P&amp;L'!$C$21,"")</f>
        <v/>
      </c>
      <c r="N40" s="4" t="str">
        <f>IF(AND(J40&gt;'P&amp;L'!$C$24, COUNTIF($L$4:L39, "Long") &gt; COUNTIF($N$4:N39, "Close")), "Close", "")</f>
        <v/>
      </c>
      <c r="O40" s="5" t="str">
        <f>IF(AND(E40&lt;G40, J40&lt;'P&amp;L'!$C$24, J39&gt;'P&amp;L'!$C$24, COUNTIF($O$4:O39, "Short")=COUNTIF($Q$4:Q39, "Close")), "Short", "")</f>
        <v>Short</v>
      </c>
      <c r="P40" s="5">
        <f>IF(O40="Short", E40*'P&amp;L'!$C$21, "")</f>
        <v>46454</v>
      </c>
      <c r="Q40" s="5" t="str">
        <f>IF(AND(J40&gt;'P&amp;L'!$C$23, COUNTIF($O$4:O39, "Short") &gt; COUNTIF($Q$4:Q39, "Close")), "Close", "")</f>
        <v/>
      </c>
      <c r="R40" s="6">
        <v>56454</v>
      </c>
    </row>
    <row r="41" spans="1:18" x14ac:dyDescent="0.35">
      <c r="A41" s="12">
        <v>42986</v>
      </c>
      <c r="B41" s="1">
        <v>936.49</v>
      </c>
      <c r="C41" s="1">
        <v>936.99</v>
      </c>
      <c r="D41" s="1">
        <v>924.88</v>
      </c>
      <c r="E41" s="1">
        <v>926.5</v>
      </c>
      <c r="F41" s="1">
        <v>1011538</v>
      </c>
      <c r="G41" s="6">
        <f t="shared" si="4"/>
        <v>938.47761904761921</v>
      </c>
      <c r="H41" s="6">
        <f t="shared" si="0"/>
        <v>950.69</v>
      </c>
      <c r="I41" s="6">
        <f t="shared" si="1"/>
        <v>909.7</v>
      </c>
      <c r="J41" s="6">
        <f t="shared" si="2"/>
        <v>40.985606245425593</v>
      </c>
      <c r="K41" s="6">
        <f t="shared" si="3"/>
        <v>40.670438536079864</v>
      </c>
      <c r="L41" s="4" t="str">
        <f>IF(AND(E41&gt;G41, J41&gt;'P&amp;L'!$C$23, COUNTIF($L$4:L40, "Long")=COUNTIF($N$4:N40, "Close")), "Long", "")</f>
        <v/>
      </c>
      <c r="M41" s="4" t="str">
        <f>IF(L41="Long", E41*'P&amp;L'!$C$21,"")</f>
        <v/>
      </c>
      <c r="N41" s="4" t="str">
        <f>IF(AND(J41&gt;'P&amp;L'!$C$24, COUNTIF($L$4:L40, "Long") &gt; COUNTIF($N$4:N40, "Close")), "Close", "")</f>
        <v/>
      </c>
      <c r="O41" s="5" t="str">
        <f>IF(AND(E41&lt;G41, J41&lt;'P&amp;L'!$C$24, J40&gt;'P&amp;L'!$C$24, COUNTIF($O$4:O40, "Short")=COUNTIF($Q$4:Q40, "Close")), "Short", "")</f>
        <v/>
      </c>
      <c r="P41" s="5" t="str">
        <f>IF(O41="Short", E41*'P&amp;L'!$C$21, "")</f>
        <v/>
      </c>
      <c r="Q41" s="5" t="str">
        <f>IF(AND(J41&gt;'P&amp;L'!$C$23, COUNTIF($O$4:O40, "Short") &gt; COUNTIF($Q$4:Q40, "Close")), "Close", "")</f>
        <v>Close</v>
      </c>
      <c r="R41" s="6">
        <v>10129</v>
      </c>
    </row>
    <row r="42" spans="1:18" x14ac:dyDescent="0.35">
      <c r="A42" s="12">
        <v>42985</v>
      </c>
      <c r="B42" s="1">
        <v>931.73</v>
      </c>
      <c r="C42" s="1">
        <v>936.41</v>
      </c>
      <c r="D42" s="1">
        <v>923.62</v>
      </c>
      <c r="E42" s="1">
        <v>935.95</v>
      </c>
      <c r="F42" s="1">
        <v>1212743</v>
      </c>
      <c r="G42" s="6">
        <f t="shared" si="4"/>
        <v>936.4328571428573</v>
      </c>
      <c r="H42" s="6">
        <f t="shared" si="0"/>
        <v>949.9</v>
      </c>
      <c r="I42" s="6">
        <f t="shared" si="1"/>
        <v>909.7</v>
      </c>
      <c r="J42" s="6">
        <f t="shared" si="2"/>
        <v>65.298507462686686</v>
      </c>
      <c r="K42" s="6">
        <f t="shared" si="3"/>
        <v>48.324823688290053</v>
      </c>
      <c r="L42" s="4" t="str">
        <f>IF(AND(E42&gt;G42, J42&gt;'P&amp;L'!$C$23, COUNTIF($L$4:L41, "Long")=COUNTIF($N$4:N41, "Close")), "Long", "")</f>
        <v/>
      </c>
      <c r="M42" s="4" t="str">
        <f>IF(L42="Long", E42*'P&amp;L'!$C$21,"")</f>
        <v/>
      </c>
      <c r="N42" s="4" t="str">
        <f>IF(AND(J42&gt;'P&amp;L'!$C$24, COUNTIF($L$4:L41, "Long") &gt; COUNTIF($N$4:N41, "Close")), "Close", "")</f>
        <v/>
      </c>
      <c r="O42" s="5" t="str">
        <f>IF(AND(E42&lt;G42, J42&lt;'P&amp;L'!$C$24, J41&gt;'P&amp;L'!$C$24, COUNTIF($O$4:O41, "Short")=COUNTIF($Q$4:Q41, "Close")), "Short", "")</f>
        <v/>
      </c>
      <c r="P42" s="5" t="str">
        <f>IF(O42="Short", E42*'P&amp;L'!$C$21, "")</f>
        <v/>
      </c>
      <c r="Q42" s="5" t="str">
        <f>IF(AND(J42&gt;'P&amp;L'!$C$23, COUNTIF($O$4:O41, "Short") &gt; COUNTIF($Q$4:Q41, "Close")), "Close", "")</f>
        <v/>
      </c>
      <c r="R42" s="6">
        <v>10129</v>
      </c>
    </row>
    <row r="43" spans="1:18" x14ac:dyDescent="0.35">
      <c r="A43" s="12">
        <v>42984</v>
      </c>
      <c r="B43" s="1">
        <v>930.15</v>
      </c>
      <c r="C43" s="1">
        <v>930.92</v>
      </c>
      <c r="D43" s="1">
        <v>919.27</v>
      </c>
      <c r="E43" s="1">
        <v>927.81</v>
      </c>
      <c r="F43" s="1">
        <v>1527650</v>
      </c>
      <c r="G43" s="6">
        <f t="shared" si="4"/>
        <v>934.42571428571455</v>
      </c>
      <c r="H43" s="6">
        <f t="shared" si="0"/>
        <v>938.38</v>
      </c>
      <c r="I43" s="6">
        <f t="shared" si="1"/>
        <v>909.7</v>
      </c>
      <c r="J43" s="6">
        <f t="shared" si="2"/>
        <v>63.145048814504648</v>
      </c>
      <c r="K43" s="6">
        <f t="shared" si="3"/>
        <v>56.476387507538981</v>
      </c>
      <c r="L43" s="4" t="str">
        <f>IF(AND(E43&gt;G43, J43&gt;'P&amp;L'!$C$23, COUNTIF($L$4:L42, "Long")=COUNTIF($N$4:N42, "Close")), "Long", "")</f>
        <v/>
      </c>
      <c r="M43" s="4" t="str">
        <f>IF(L43="Long", E43*'P&amp;L'!$C$21,"")</f>
        <v/>
      </c>
      <c r="N43" s="4" t="str">
        <f>IF(AND(J43&gt;'P&amp;L'!$C$24, COUNTIF($L$4:L42, "Long") &gt; COUNTIF($N$4:N42, "Close")), "Close", "")</f>
        <v/>
      </c>
      <c r="O43" s="5" t="str">
        <f>IF(AND(E43&lt;G43, J43&lt;'P&amp;L'!$C$24, J42&gt;'P&amp;L'!$C$24, COUNTIF($O$4:O42, "Short")=COUNTIF($Q$4:Q42, "Close")), "Short", "")</f>
        <v/>
      </c>
      <c r="P43" s="5" t="str">
        <f>IF(O43="Short", E43*'P&amp;L'!$C$21, "")</f>
        <v/>
      </c>
      <c r="Q43" s="5" t="str">
        <f>IF(AND(J43&gt;'P&amp;L'!$C$23, COUNTIF($O$4:O42, "Short") &gt; COUNTIF($Q$4:Q42, "Close")), "Close", "")</f>
        <v/>
      </c>
      <c r="R43" s="6">
        <v>10129</v>
      </c>
    </row>
    <row r="44" spans="1:18" x14ac:dyDescent="0.35">
      <c r="A44" s="12">
        <v>42983</v>
      </c>
      <c r="B44" s="1">
        <v>933.08</v>
      </c>
      <c r="C44" s="1">
        <v>937</v>
      </c>
      <c r="D44" s="1">
        <v>921.96</v>
      </c>
      <c r="E44" s="1">
        <v>928.45</v>
      </c>
      <c r="F44" s="1">
        <v>1348292</v>
      </c>
      <c r="G44" s="6">
        <f t="shared" si="4"/>
        <v>933.31952380952396</v>
      </c>
      <c r="H44" s="6">
        <f t="shared" si="0"/>
        <v>938.38</v>
      </c>
      <c r="I44" s="6">
        <f t="shared" si="1"/>
        <v>909.7</v>
      </c>
      <c r="J44" s="6">
        <f t="shared" si="2"/>
        <v>65.376569037657021</v>
      </c>
      <c r="K44" s="6">
        <f t="shared" si="3"/>
        <v>64.60670843828278</v>
      </c>
      <c r="L44" s="4" t="str">
        <f>IF(AND(E44&gt;G44, J44&gt;'P&amp;L'!$C$23, COUNTIF($L$4:L43, "Long")=COUNTIF($N$4:N43, "Close")), "Long", "")</f>
        <v/>
      </c>
      <c r="M44" s="4" t="str">
        <f>IF(L44="Long", E44*'P&amp;L'!$C$21,"")</f>
        <v/>
      </c>
      <c r="N44" s="4" t="str">
        <f>IF(AND(J44&gt;'P&amp;L'!$C$24, COUNTIF($L$4:L43, "Long") &gt; COUNTIF($N$4:N43, "Close")), "Close", "")</f>
        <v/>
      </c>
      <c r="O44" s="5" t="str">
        <f>IF(AND(E44&lt;G44, J44&lt;'P&amp;L'!$C$24, J43&gt;'P&amp;L'!$C$24, COUNTIF($O$4:O43, "Short")=COUNTIF($Q$4:Q43, "Close")), "Short", "")</f>
        <v/>
      </c>
      <c r="P44" s="5" t="str">
        <f>IF(O44="Short", E44*'P&amp;L'!$C$21, "")</f>
        <v/>
      </c>
      <c r="Q44" s="5" t="str">
        <f>IF(AND(J44&gt;'P&amp;L'!$C$23, COUNTIF($O$4:O43, "Short") &gt; COUNTIF($Q$4:Q43, "Close")), "Close", "")</f>
        <v/>
      </c>
      <c r="R44" s="6">
        <v>10129</v>
      </c>
    </row>
    <row r="45" spans="1:18" x14ac:dyDescent="0.35">
      <c r="A45" s="12">
        <v>42979</v>
      </c>
      <c r="B45" s="1">
        <v>941.13</v>
      </c>
      <c r="C45" s="1">
        <v>942.48</v>
      </c>
      <c r="D45" s="1">
        <v>935.15</v>
      </c>
      <c r="E45" s="1">
        <v>937.34</v>
      </c>
      <c r="F45" s="1">
        <v>947374</v>
      </c>
      <c r="G45" s="6">
        <f t="shared" si="4"/>
        <v>932.34571428571439</v>
      </c>
      <c r="H45" s="6">
        <f t="shared" si="0"/>
        <v>942.48</v>
      </c>
      <c r="I45" s="6">
        <f t="shared" si="1"/>
        <v>910.6</v>
      </c>
      <c r="J45" s="6">
        <f t="shared" si="2"/>
        <v>83.877038895859513</v>
      </c>
      <c r="K45" s="6">
        <f t="shared" si="3"/>
        <v>70.799552249340408</v>
      </c>
      <c r="L45" s="4" t="str">
        <f>IF(AND(E45&gt;G45, J45&gt;'P&amp;L'!$C$23, COUNTIF($L$4:L44, "Long")=COUNTIF($N$4:N44, "Close")), "Long", "")</f>
        <v>Long</v>
      </c>
      <c r="M45" s="4">
        <f>IF(L45="Long", E45*'P&amp;L'!$C$21,"")</f>
        <v>46867</v>
      </c>
      <c r="N45" s="4" t="str">
        <f>IF(AND(J45&gt;'P&amp;L'!$C$24, COUNTIF($L$4:L44, "Long") &gt; COUNTIF($N$4:N44, "Close")), "Close", "")</f>
        <v/>
      </c>
      <c r="O45" s="5" t="str">
        <f>IF(AND(E45&lt;G45, J45&lt;'P&amp;L'!$C$24, J44&gt;'P&amp;L'!$C$24, COUNTIF($O$4:O44, "Short")=COUNTIF($Q$4:Q44, "Close")), "Short", "")</f>
        <v/>
      </c>
      <c r="P45" s="5" t="str">
        <f>IF(O45="Short", E45*'P&amp;L'!$C$21, "")</f>
        <v/>
      </c>
      <c r="Q45" s="5" t="str">
        <f>IF(AND(J45&gt;'P&amp;L'!$C$23, COUNTIF($O$4:O44, "Short") &gt; COUNTIF($Q$4:Q44, "Close")), "Close", "")</f>
        <v/>
      </c>
      <c r="R45" s="6">
        <v>-36738</v>
      </c>
    </row>
    <row r="46" spans="1:18" x14ac:dyDescent="0.35">
      <c r="A46" s="12">
        <v>42978</v>
      </c>
      <c r="B46" s="1">
        <v>931.76</v>
      </c>
      <c r="C46" s="1">
        <v>941.98</v>
      </c>
      <c r="D46" s="1">
        <v>931.76</v>
      </c>
      <c r="E46" s="1">
        <v>939.33</v>
      </c>
      <c r="F46" s="1">
        <v>1582579</v>
      </c>
      <c r="G46" s="6">
        <f t="shared" si="4"/>
        <v>931.68190476190489</v>
      </c>
      <c r="H46" s="6">
        <f t="shared" si="0"/>
        <v>942.48</v>
      </c>
      <c r="I46" s="6">
        <f t="shared" si="1"/>
        <v>910.6</v>
      </c>
      <c r="J46" s="6">
        <f t="shared" si="2"/>
        <v>90.119196988707728</v>
      </c>
      <c r="K46" s="6">
        <f t="shared" si="3"/>
        <v>79.790934974074759</v>
      </c>
      <c r="L46" s="4" t="str">
        <f>IF(AND(E46&gt;G46, J46&gt;'P&amp;L'!$C$23, COUNTIF($L$4:L45, "Long")=COUNTIF($N$4:N45, "Close")), "Long", "")</f>
        <v/>
      </c>
      <c r="M46" s="4" t="str">
        <f>IF(L46="Long", E46*'P&amp;L'!$C$21,"")</f>
        <v/>
      </c>
      <c r="N46" s="4" t="str">
        <f>IF(AND(J46&gt;'P&amp;L'!$C$24, COUNTIF($L$4:L45, "Long") &gt; COUNTIF($N$4:N45, "Close")), "Close", "")</f>
        <v>Close</v>
      </c>
      <c r="O46" s="5" t="str">
        <f>IF(AND(E46&lt;G46, J46&lt;'P&amp;L'!$C$24, J45&gt;'P&amp;L'!$C$24, COUNTIF($O$4:O45, "Short")=COUNTIF($Q$4:Q45, "Close")), "Short", "")</f>
        <v/>
      </c>
      <c r="P46" s="5" t="str">
        <f>IF(O46="Short", E46*'P&amp;L'!$C$21, "")</f>
        <v/>
      </c>
      <c r="Q46" s="5" t="str">
        <f>IF(AND(J46&gt;'P&amp;L'!$C$23, COUNTIF($O$4:O45, "Short") &gt; COUNTIF($Q$4:Q45, "Close")), "Close", "")</f>
        <v/>
      </c>
      <c r="R46" s="6">
        <v>10228.5</v>
      </c>
    </row>
    <row r="47" spans="1:18" x14ac:dyDescent="0.35">
      <c r="A47" s="12">
        <v>42977</v>
      </c>
      <c r="B47" s="1">
        <v>920.05</v>
      </c>
      <c r="C47" s="1">
        <v>930.82</v>
      </c>
      <c r="D47" s="1">
        <v>919.65</v>
      </c>
      <c r="E47" s="1">
        <v>929.57</v>
      </c>
      <c r="F47" s="1">
        <v>1301225</v>
      </c>
      <c r="G47" s="6">
        <f t="shared" si="4"/>
        <v>930.27523809523825</v>
      </c>
      <c r="H47" s="6">
        <f t="shared" si="0"/>
        <v>942.48</v>
      </c>
      <c r="I47" s="6">
        <f t="shared" si="1"/>
        <v>910.6</v>
      </c>
      <c r="J47" s="6">
        <f t="shared" si="2"/>
        <v>59.50439146800511</v>
      </c>
      <c r="K47" s="6">
        <f t="shared" si="3"/>
        <v>77.83354245085745</v>
      </c>
      <c r="L47" s="4" t="str">
        <f>IF(AND(E47&gt;G47, J47&gt;'P&amp;L'!$C$23, COUNTIF($L$4:L46, "Long")=COUNTIF($N$4:N46, "Close")), "Long", "")</f>
        <v/>
      </c>
      <c r="M47" s="4" t="str">
        <f>IF(L47="Long", E47*'P&amp;L'!$C$21,"")</f>
        <v/>
      </c>
      <c r="N47" s="4" t="str">
        <f>IF(AND(J47&gt;'P&amp;L'!$C$24, COUNTIF($L$4:L46, "Long") &gt; COUNTIF($N$4:N46, "Close")), "Close", "")</f>
        <v/>
      </c>
      <c r="O47" s="5" t="str">
        <f>IF(AND(E47&lt;G47, J47&lt;'P&amp;L'!$C$24, J46&gt;'P&amp;L'!$C$24, COUNTIF($O$4:O46, "Short")=COUNTIF($Q$4:Q46, "Close")), "Short", "")</f>
        <v/>
      </c>
      <c r="P47" s="5" t="str">
        <f>IF(O47="Short", E47*'P&amp;L'!$C$21, "")</f>
        <v/>
      </c>
      <c r="Q47" s="5" t="str">
        <f>IF(AND(J47&gt;'P&amp;L'!$C$23, COUNTIF($O$4:O46, "Short") &gt; COUNTIF($Q$4:Q46, "Close")), "Close", "")</f>
        <v/>
      </c>
      <c r="R47" s="6">
        <v>10228.5</v>
      </c>
    </row>
    <row r="48" spans="1:18" x14ac:dyDescent="0.35">
      <c r="A48" s="12">
        <v>42976</v>
      </c>
      <c r="B48" s="1">
        <v>905.1</v>
      </c>
      <c r="C48" s="1">
        <v>923.33</v>
      </c>
      <c r="D48" s="1">
        <v>905</v>
      </c>
      <c r="E48" s="1">
        <v>921.29</v>
      </c>
      <c r="F48" s="1">
        <v>1185564</v>
      </c>
      <c r="G48" s="6">
        <f t="shared" si="4"/>
        <v>928.93190476190489</v>
      </c>
      <c r="H48" s="6">
        <f t="shared" si="0"/>
        <v>942.48</v>
      </c>
      <c r="I48" s="6">
        <f t="shared" si="1"/>
        <v>905</v>
      </c>
      <c r="J48" s="6">
        <f t="shared" si="2"/>
        <v>43.463180362860079</v>
      </c>
      <c r="K48" s="6">
        <f t="shared" si="3"/>
        <v>64.362256273190965</v>
      </c>
      <c r="L48" s="4" t="str">
        <f>IF(AND(E48&gt;G48, J48&gt;'P&amp;L'!$C$23, COUNTIF($L$4:L47, "Long")=COUNTIF($N$4:N47, "Close")), "Long", "")</f>
        <v/>
      </c>
      <c r="M48" s="4" t="str">
        <f>IF(L48="Long", E48*'P&amp;L'!$C$21,"")</f>
        <v/>
      </c>
      <c r="N48" s="4" t="str">
        <f>IF(AND(J48&gt;'P&amp;L'!$C$24, COUNTIF($L$4:L47, "Long") &gt; COUNTIF($N$4:N47, "Close")), "Close", "")</f>
        <v/>
      </c>
      <c r="O48" s="5" t="str">
        <f>IF(AND(E48&lt;G48, J48&lt;'P&amp;L'!$C$24, J47&gt;'P&amp;L'!$C$24, COUNTIF($O$4:O47, "Short")=COUNTIF($Q$4:Q47, "Close")), "Short", "")</f>
        <v/>
      </c>
      <c r="P48" s="5" t="str">
        <f>IF(O48="Short", E48*'P&amp;L'!$C$21, "")</f>
        <v/>
      </c>
      <c r="Q48" s="5" t="str">
        <f>IF(AND(J48&gt;'P&amp;L'!$C$23, COUNTIF($O$4:O47, "Short") &gt; COUNTIF($Q$4:Q47, "Close")), "Close", "")</f>
        <v/>
      </c>
      <c r="R48" s="6">
        <v>10228.5</v>
      </c>
    </row>
    <row r="49" spans="1:18" x14ac:dyDescent="0.35">
      <c r="A49" s="12">
        <v>42975</v>
      </c>
      <c r="B49" s="1">
        <v>916</v>
      </c>
      <c r="C49" s="1">
        <v>919.24</v>
      </c>
      <c r="D49" s="1">
        <v>911.87</v>
      </c>
      <c r="E49" s="1">
        <v>913.81</v>
      </c>
      <c r="F49" s="1">
        <v>1086484</v>
      </c>
      <c r="G49" s="6">
        <f t="shared" si="4"/>
        <v>927.47095238095255</v>
      </c>
      <c r="H49" s="6">
        <f t="shared" si="0"/>
        <v>942.48</v>
      </c>
      <c r="I49" s="6">
        <f t="shared" si="1"/>
        <v>905</v>
      </c>
      <c r="J49" s="6">
        <f t="shared" si="2"/>
        <v>23.505869797225028</v>
      </c>
      <c r="K49" s="6">
        <f t="shared" si="3"/>
        <v>42.157813876030069</v>
      </c>
      <c r="L49" s="4" t="str">
        <f>IF(AND(E49&gt;G49, J49&gt;'P&amp;L'!$C$23, COUNTIF($L$4:L48, "Long")=COUNTIF($N$4:N48, "Close")), "Long", "")</f>
        <v/>
      </c>
      <c r="M49" s="4" t="str">
        <f>IF(L49="Long", E49*'P&amp;L'!$C$21,"")</f>
        <v/>
      </c>
      <c r="N49" s="4" t="str">
        <f>IF(AND(J49&gt;'P&amp;L'!$C$24, COUNTIF($L$4:L48, "Long") &gt; COUNTIF($N$4:N48, "Close")), "Close", "")</f>
        <v/>
      </c>
      <c r="O49" s="5" t="str">
        <f>IF(AND(E49&lt;G49, J49&lt;'P&amp;L'!$C$24, J48&gt;'P&amp;L'!$C$24, COUNTIF($O$4:O48, "Short")=COUNTIF($Q$4:Q48, "Close")), "Short", "")</f>
        <v>Short</v>
      </c>
      <c r="P49" s="5">
        <f>IF(O49="Short", E49*'P&amp;L'!$C$21, "")</f>
        <v>45690.5</v>
      </c>
      <c r="Q49" s="5" t="str">
        <f>IF(AND(J49&gt;'P&amp;L'!$C$23, COUNTIF($O$4:O48, "Short") &gt; COUNTIF($Q$4:Q48, "Close")), "Close", "")</f>
        <v/>
      </c>
      <c r="R49" s="6">
        <v>55919</v>
      </c>
    </row>
    <row r="50" spans="1:18" x14ac:dyDescent="0.35">
      <c r="A50" s="12">
        <v>42972</v>
      </c>
      <c r="B50" s="1">
        <v>923.49</v>
      </c>
      <c r="C50" s="1">
        <v>925.56</v>
      </c>
      <c r="D50" s="1">
        <v>915.5</v>
      </c>
      <c r="E50" s="1">
        <v>915.89</v>
      </c>
      <c r="F50" s="1">
        <v>1053376</v>
      </c>
      <c r="G50" s="6">
        <f t="shared" si="4"/>
        <v>927.04380952380961</v>
      </c>
      <c r="H50" s="6">
        <f t="shared" si="0"/>
        <v>942.48</v>
      </c>
      <c r="I50" s="6">
        <f t="shared" si="1"/>
        <v>905</v>
      </c>
      <c r="J50" s="6">
        <f t="shared" si="2"/>
        <v>29.055496264674442</v>
      </c>
      <c r="K50" s="6">
        <f t="shared" si="3"/>
        <v>32.008182141586516</v>
      </c>
      <c r="L50" s="4" t="str">
        <f>IF(AND(E50&gt;G50, J50&gt;'P&amp;L'!$C$23, COUNTIF($L$4:L49, "Long")=COUNTIF($N$4:N49, "Close")), "Long", "")</f>
        <v/>
      </c>
      <c r="M50" s="4" t="str">
        <f>IF(L50="Long", E50*'P&amp;L'!$C$21,"")</f>
        <v/>
      </c>
      <c r="N50" s="4" t="str">
        <f>IF(AND(J50&gt;'P&amp;L'!$C$24, COUNTIF($L$4:L49, "Long") &gt; COUNTIF($N$4:N49, "Close")), "Close", "")</f>
        <v/>
      </c>
      <c r="O50" s="5" t="str">
        <f>IF(AND(E50&lt;G50, J50&lt;'P&amp;L'!$C$24, J49&gt;'P&amp;L'!$C$24, COUNTIF($O$4:O49, "Short")=COUNTIF($Q$4:Q49, "Close")), "Short", "")</f>
        <v/>
      </c>
      <c r="P50" s="5" t="str">
        <f>IF(O50="Short", E50*'P&amp;L'!$C$21, "")</f>
        <v/>
      </c>
      <c r="Q50" s="5" t="str">
        <f>IF(AND(J50&gt;'P&amp;L'!$C$23, COUNTIF($O$4:O49, "Short") &gt; COUNTIF($Q$4:Q49, "Close")), "Close", "")</f>
        <v>Close</v>
      </c>
      <c r="R50" s="6">
        <v>10124.5</v>
      </c>
    </row>
    <row r="51" spans="1:18" x14ac:dyDescent="0.35">
      <c r="A51" s="12">
        <v>42971</v>
      </c>
      <c r="B51" s="1">
        <v>928.66</v>
      </c>
      <c r="C51" s="1">
        <v>930.84</v>
      </c>
      <c r="D51" s="1">
        <v>915.5</v>
      </c>
      <c r="E51" s="1">
        <v>921.28</v>
      </c>
      <c r="F51" s="1">
        <v>1270306</v>
      </c>
      <c r="G51" s="6">
        <f t="shared" si="4"/>
        <v>927.05857142857144</v>
      </c>
      <c r="H51" s="6">
        <f t="shared" si="0"/>
        <v>942.48</v>
      </c>
      <c r="I51" s="6">
        <f t="shared" si="1"/>
        <v>905</v>
      </c>
      <c r="J51" s="6">
        <f t="shared" si="2"/>
        <v>43.436499466381981</v>
      </c>
      <c r="K51" s="6">
        <f t="shared" si="3"/>
        <v>31.999288509427149</v>
      </c>
      <c r="L51" s="4" t="str">
        <f>IF(AND(E51&gt;G51, J51&gt;'P&amp;L'!$C$23, COUNTIF($L$4:L50, "Long")=COUNTIF($N$4:N50, "Close")), "Long", "")</f>
        <v/>
      </c>
      <c r="M51" s="4" t="str">
        <f>IF(L51="Long", E51*'P&amp;L'!$C$21,"")</f>
        <v/>
      </c>
      <c r="N51" s="4" t="str">
        <f>IF(AND(J51&gt;'P&amp;L'!$C$24, COUNTIF($L$4:L50, "Long") &gt; COUNTIF($N$4:N50, "Close")), "Close", "")</f>
        <v/>
      </c>
      <c r="O51" s="5" t="str">
        <f>IF(AND(E51&lt;G51, J51&lt;'P&amp;L'!$C$24, J50&gt;'P&amp;L'!$C$24, COUNTIF($O$4:O50, "Short")=COUNTIF($Q$4:Q50, "Close")), "Short", "")</f>
        <v/>
      </c>
      <c r="P51" s="5" t="str">
        <f>IF(O51="Short", E51*'P&amp;L'!$C$21, "")</f>
        <v/>
      </c>
      <c r="Q51" s="5" t="str">
        <f>IF(AND(J51&gt;'P&amp;L'!$C$23, COUNTIF($O$4:O50, "Short") &gt; COUNTIF($Q$4:Q50, "Close")), "Close", "")</f>
        <v/>
      </c>
      <c r="R51" s="6">
        <v>10124.5</v>
      </c>
    </row>
    <row r="52" spans="1:18" x14ac:dyDescent="0.35">
      <c r="A52" s="12">
        <v>42970</v>
      </c>
      <c r="B52" s="1">
        <v>921.93</v>
      </c>
      <c r="C52" s="1">
        <v>929.93</v>
      </c>
      <c r="D52" s="1">
        <v>919.36</v>
      </c>
      <c r="E52" s="1">
        <v>927</v>
      </c>
      <c r="F52" s="1">
        <v>1090248</v>
      </c>
      <c r="G52" s="6">
        <f t="shared" si="4"/>
        <v>926.98571428571427</v>
      </c>
      <c r="H52" s="6">
        <f t="shared" si="0"/>
        <v>942.48</v>
      </c>
      <c r="I52" s="6">
        <f t="shared" si="1"/>
        <v>905</v>
      </c>
      <c r="J52" s="6">
        <f t="shared" si="2"/>
        <v>58.69797225186764</v>
      </c>
      <c r="K52" s="6">
        <f t="shared" si="3"/>
        <v>43.729989327641356</v>
      </c>
      <c r="L52" s="4" t="str">
        <f>IF(AND(E52&gt;G52, J52&gt;'P&amp;L'!$C$23, COUNTIF($L$4:L51, "Long")=COUNTIF($N$4:N51, "Close")), "Long", "")</f>
        <v>Long</v>
      </c>
      <c r="M52" s="4">
        <f>IF(L52="Long", E52*'P&amp;L'!$C$21,"")</f>
        <v>46350</v>
      </c>
      <c r="N52" s="4" t="str">
        <f>IF(AND(J52&gt;'P&amp;L'!$C$24, COUNTIF($L$4:L51, "Long") &gt; COUNTIF($N$4:N51, "Close")), "Close", "")</f>
        <v/>
      </c>
      <c r="O52" s="5" t="str">
        <f>IF(AND(E52&lt;G52, J52&lt;'P&amp;L'!$C$24, J51&gt;'P&amp;L'!$C$24, COUNTIF($O$4:O51, "Short")=COUNTIF($Q$4:Q51, "Close")), "Short", "")</f>
        <v/>
      </c>
      <c r="P52" s="5" t="str">
        <f>IF(O52="Short", E52*'P&amp;L'!$C$21, "")</f>
        <v/>
      </c>
      <c r="Q52" s="5" t="str">
        <f>IF(AND(J52&gt;'P&amp;L'!$C$23, COUNTIF($O$4:O51, "Short") &gt; COUNTIF($Q$4:Q51, "Close")), "Close", "")</f>
        <v/>
      </c>
      <c r="R52" s="6">
        <v>-36225.5</v>
      </c>
    </row>
    <row r="53" spans="1:18" x14ac:dyDescent="0.35">
      <c r="A53" s="12">
        <v>42969</v>
      </c>
      <c r="B53" s="1">
        <v>912.72</v>
      </c>
      <c r="C53" s="1">
        <v>925.86</v>
      </c>
      <c r="D53" s="1">
        <v>911.48</v>
      </c>
      <c r="E53" s="1">
        <v>924.69</v>
      </c>
      <c r="F53" s="1">
        <v>1166737</v>
      </c>
      <c r="G53" s="6">
        <f t="shared" si="4"/>
        <v>926.61619047619047</v>
      </c>
      <c r="H53" s="6">
        <f t="shared" si="0"/>
        <v>942.48</v>
      </c>
      <c r="I53" s="6">
        <f t="shared" si="1"/>
        <v>905</v>
      </c>
      <c r="J53" s="6">
        <f t="shared" si="2"/>
        <v>52.534685165421678</v>
      </c>
      <c r="K53" s="6">
        <f t="shared" si="3"/>
        <v>51.556385627890428</v>
      </c>
      <c r="L53" s="4" t="str">
        <f>IF(AND(E53&gt;G53, J53&gt;'P&amp;L'!$C$23, COUNTIF($L$4:L52, "Long")=COUNTIF($N$4:N52, "Close")), "Long", "")</f>
        <v/>
      </c>
      <c r="M53" s="4" t="str">
        <f>IF(L53="Long", E53*'P&amp;L'!$C$21,"")</f>
        <v/>
      </c>
      <c r="N53" s="4" t="str">
        <f>IF(AND(J53&gt;'P&amp;L'!$C$24, COUNTIF($L$4:L52, "Long") &gt; COUNTIF($N$4:N52, "Close")), "Close", "")</f>
        <v>Close</v>
      </c>
      <c r="O53" s="5" t="str">
        <f>IF(AND(E53&lt;G53, J53&lt;'P&amp;L'!$C$24, J52&gt;'P&amp;L'!$C$24, COUNTIF($O$4:O52, "Short")=COUNTIF($Q$4:Q52, "Close")), "Short", "")</f>
        <v/>
      </c>
      <c r="P53" s="5" t="str">
        <f>IF(O53="Short", E53*'P&amp;L'!$C$21, "")</f>
        <v/>
      </c>
      <c r="Q53" s="5" t="str">
        <f>IF(AND(J53&gt;'P&amp;L'!$C$23, COUNTIF($O$4:O52, "Short") &gt; COUNTIF($Q$4:Q52, "Close")), "Close", "")</f>
        <v/>
      </c>
      <c r="R53" s="6">
        <v>10009</v>
      </c>
    </row>
    <row r="54" spans="1:18" x14ac:dyDescent="0.35">
      <c r="A54" s="12">
        <v>42968</v>
      </c>
      <c r="B54" s="1">
        <v>910</v>
      </c>
      <c r="C54" s="1">
        <v>913</v>
      </c>
      <c r="D54" s="1">
        <v>903.4</v>
      </c>
      <c r="E54" s="1">
        <v>906.66</v>
      </c>
      <c r="F54" s="1">
        <v>943441</v>
      </c>
      <c r="G54" s="6">
        <f t="shared" si="4"/>
        <v>925.42952380952363</v>
      </c>
      <c r="H54" s="6">
        <f t="shared" si="0"/>
        <v>942.48</v>
      </c>
      <c r="I54" s="6">
        <f t="shared" si="1"/>
        <v>903.4</v>
      </c>
      <c r="J54" s="6">
        <f t="shared" si="2"/>
        <v>8.341862845445208</v>
      </c>
      <c r="K54" s="6">
        <f t="shared" si="3"/>
        <v>39.858173420911506</v>
      </c>
      <c r="L54" s="4" t="str">
        <f>IF(AND(E54&gt;G54, J54&gt;'P&amp;L'!$C$23, COUNTIF($L$4:L53, "Long")=COUNTIF($N$4:N53, "Close")), "Long", "")</f>
        <v/>
      </c>
      <c r="M54" s="4" t="str">
        <f>IF(L54="Long", E54*'P&amp;L'!$C$21,"")</f>
        <v/>
      </c>
      <c r="N54" s="4" t="str">
        <f>IF(AND(J54&gt;'P&amp;L'!$C$24, COUNTIF($L$4:L53, "Long") &gt; COUNTIF($N$4:N53, "Close")), "Close", "")</f>
        <v/>
      </c>
      <c r="O54" s="5" t="str">
        <f>IF(AND(E54&lt;G54, J54&lt;'P&amp;L'!$C$24, J53&gt;'P&amp;L'!$C$24, COUNTIF($O$4:O53, "Short")=COUNTIF($Q$4:Q53, "Close")), "Short", "")</f>
        <v>Short</v>
      </c>
      <c r="P54" s="5">
        <f>IF(O54="Short", E54*'P&amp;L'!$C$21, "")</f>
        <v>45333</v>
      </c>
      <c r="Q54" s="5" t="str">
        <f>IF(AND(J54&gt;'P&amp;L'!$C$23, COUNTIF($O$4:O53, "Short") &gt; COUNTIF($Q$4:Q53, "Close")), "Close", "")</f>
        <v/>
      </c>
      <c r="R54" s="6">
        <v>55342</v>
      </c>
    </row>
    <row r="55" spans="1:18" x14ac:dyDescent="0.35">
      <c r="A55" s="12">
        <v>42965</v>
      </c>
      <c r="B55" s="1">
        <v>910.31</v>
      </c>
      <c r="C55" s="1">
        <v>915.28</v>
      </c>
      <c r="D55" s="1">
        <v>907.15</v>
      </c>
      <c r="E55" s="1">
        <v>910.67</v>
      </c>
      <c r="F55" s="1">
        <v>1342689</v>
      </c>
      <c r="G55" s="6">
        <f t="shared" si="4"/>
        <v>924.89904761904745</v>
      </c>
      <c r="H55" s="6">
        <f t="shared" si="0"/>
        <v>942.48</v>
      </c>
      <c r="I55" s="6">
        <f t="shared" si="1"/>
        <v>903.4</v>
      </c>
      <c r="J55" s="6">
        <f t="shared" si="2"/>
        <v>18.602865916069536</v>
      </c>
      <c r="K55" s="6">
        <f t="shared" si="3"/>
        <v>26.493137975645471</v>
      </c>
      <c r="L55" s="4" t="str">
        <f>IF(AND(E55&gt;G55, J55&gt;'P&amp;L'!$C$23, COUNTIF($L$4:L54, "Long")=COUNTIF($N$4:N54, "Close")), "Long", "")</f>
        <v/>
      </c>
      <c r="M55" s="4" t="str">
        <f>IF(L55="Long", E55*'P&amp;L'!$C$21,"")</f>
        <v/>
      </c>
      <c r="N55" s="4" t="str">
        <f>IF(AND(J55&gt;'P&amp;L'!$C$24, COUNTIF($L$4:L54, "Long") &gt; COUNTIF($N$4:N54, "Close")), "Close", "")</f>
        <v/>
      </c>
      <c r="O55" s="5" t="str">
        <f>IF(AND(E55&lt;G55, J55&lt;'P&amp;L'!$C$24, J54&gt;'P&amp;L'!$C$24, COUNTIF($O$4:O54, "Short")=COUNTIF($Q$4:Q54, "Close")), "Short", "")</f>
        <v/>
      </c>
      <c r="P55" s="5" t="str">
        <f>IF(O55="Short", E55*'P&amp;L'!$C$21, "")</f>
        <v/>
      </c>
      <c r="Q55" s="5" t="str">
        <f>IF(AND(J55&gt;'P&amp;L'!$C$23, COUNTIF($O$4:O54, "Short") &gt; COUNTIF($Q$4:Q54, "Close")), "Close", "")</f>
        <v/>
      </c>
      <c r="R55" s="6">
        <v>55342</v>
      </c>
    </row>
    <row r="56" spans="1:18" x14ac:dyDescent="0.35">
      <c r="A56" s="12">
        <v>42964</v>
      </c>
      <c r="B56" s="1">
        <v>925.78</v>
      </c>
      <c r="C56" s="1">
        <v>926.86</v>
      </c>
      <c r="D56" s="1">
        <v>910.98</v>
      </c>
      <c r="E56" s="1">
        <v>910.98</v>
      </c>
      <c r="F56" s="1">
        <v>1277238</v>
      </c>
      <c r="G56" s="6">
        <f t="shared" si="4"/>
        <v>924.70761904761889</v>
      </c>
      <c r="H56" s="6">
        <f t="shared" si="0"/>
        <v>942.48</v>
      </c>
      <c r="I56" s="6">
        <f t="shared" si="1"/>
        <v>903.4</v>
      </c>
      <c r="J56" s="6">
        <f t="shared" si="2"/>
        <v>19.396110542477054</v>
      </c>
      <c r="K56" s="6">
        <f t="shared" si="3"/>
        <v>15.446946434663934</v>
      </c>
      <c r="L56" s="4" t="str">
        <f>IF(AND(E56&gt;G56, J56&gt;'P&amp;L'!$C$23, COUNTIF($L$4:L55, "Long")=COUNTIF($N$4:N55, "Close")), "Long", "")</f>
        <v/>
      </c>
      <c r="M56" s="4" t="str">
        <f>IF(L56="Long", E56*'P&amp;L'!$C$21,"")</f>
        <v/>
      </c>
      <c r="N56" s="4" t="str">
        <f>IF(AND(J56&gt;'P&amp;L'!$C$24, COUNTIF($L$4:L55, "Long") &gt; COUNTIF($N$4:N55, "Close")), "Close", "")</f>
        <v/>
      </c>
      <c r="O56" s="5" t="str">
        <f>IF(AND(E56&lt;G56, J56&lt;'P&amp;L'!$C$24, J55&gt;'P&amp;L'!$C$24, COUNTIF($O$4:O55, "Short")=COUNTIF($Q$4:Q55, "Close")), "Short", "")</f>
        <v/>
      </c>
      <c r="P56" s="5" t="str">
        <f>IF(O56="Short", E56*'P&amp;L'!$C$21, "")</f>
        <v/>
      </c>
      <c r="Q56" s="5" t="str">
        <f>IF(AND(J56&gt;'P&amp;L'!$C$23, COUNTIF($O$4:O55, "Short") &gt; COUNTIF($Q$4:Q55, "Close")), "Close", "")</f>
        <v/>
      </c>
      <c r="R56" s="6">
        <v>55342</v>
      </c>
    </row>
    <row r="57" spans="1:18" x14ac:dyDescent="0.35">
      <c r="A57" s="12">
        <v>42963</v>
      </c>
      <c r="B57" s="1">
        <v>925.29</v>
      </c>
      <c r="C57" s="1">
        <v>932.7</v>
      </c>
      <c r="D57" s="1">
        <v>923.44</v>
      </c>
      <c r="E57" s="1">
        <v>926.96</v>
      </c>
      <c r="F57" s="1">
        <v>1006711</v>
      </c>
      <c r="G57" s="6">
        <f t="shared" si="4"/>
        <v>925.02523809523802</v>
      </c>
      <c r="H57" s="6">
        <f t="shared" si="0"/>
        <v>942.48</v>
      </c>
      <c r="I57" s="6">
        <f t="shared" si="1"/>
        <v>903.4</v>
      </c>
      <c r="J57" s="6">
        <f t="shared" si="2"/>
        <v>60.286591606960172</v>
      </c>
      <c r="K57" s="6">
        <f t="shared" si="3"/>
        <v>32.761856021835591</v>
      </c>
      <c r="L57" s="4" t="str">
        <f>IF(AND(E57&gt;G57, J57&gt;'P&amp;L'!$C$23, COUNTIF($L$4:L56, "Long")=COUNTIF($N$4:N56, "Close")), "Long", "")</f>
        <v>Long</v>
      </c>
      <c r="M57" s="4">
        <f>IF(L57="Long", E57*'P&amp;L'!$C$21,"")</f>
        <v>46348</v>
      </c>
      <c r="N57" s="4" t="str">
        <f>IF(AND(J57&gt;'P&amp;L'!$C$24, COUNTIF($L$4:L56, "Long") &gt; COUNTIF($N$4:N56, "Close")), "Close", "")</f>
        <v/>
      </c>
      <c r="O57" s="5" t="str">
        <f>IF(AND(E57&lt;G57, J57&lt;'P&amp;L'!$C$24, J56&gt;'P&amp;L'!$C$24, COUNTIF($O$4:O56, "Short")=COUNTIF($Q$4:Q56, "Close")), "Short", "")</f>
        <v/>
      </c>
      <c r="P57" s="5" t="str">
        <f>IF(O57="Short", E57*'P&amp;L'!$C$21, "")</f>
        <v/>
      </c>
      <c r="Q57" s="5" t="str">
        <f>IF(AND(J57&gt;'P&amp;L'!$C$23, COUNTIF($O$4:O56, "Short") &gt; COUNTIF($Q$4:Q56, "Close")), "Close", "")</f>
        <v>Close</v>
      </c>
      <c r="R57" s="6">
        <v>8994</v>
      </c>
    </row>
    <row r="58" spans="1:18" x14ac:dyDescent="0.35">
      <c r="A58" s="12">
        <v>42962</v>
      </c>
      <c r="B58" s="1">
        <v>924.23</v>
      </c>
      <c r="C58" s="1">
        <v>926.55</v>
      </c>
      <c r="D58" s="1">
        <v>919.82</v>
      </c>
      <c r="E58" s="1">
        <v>922.22</v>
      </c>
      <c r="F58" s="1">
        <v>883369</v>
      </c>
      <c r="G58" s="6">
        <f t="shared" si="4"/>
        <v>924.88761904761907</v>
      </c>
      <c r="H58" s="6">
        <f t="shared" si="0"/>
        <v>942.48</v>
      </c>
      <c r="I58" s="6">
        <f t="shared" si="1"/>
        <v>903.4</v>
      </c>
      <c r="J58" s="6">
        <f t="shared" si="2"/>
        <v>48.157625383828126</v>
      </c>
      <c r="K58" s="6">
        <f t="shared" si="3"/>
        <v>42.613442511088458</v>
      </c>
      <c r="L58" s="4" t="str">
        <f>IF(AND(E58&gt;G58, J58&gt;'P&amp;L'!$C$23, COUNTIF($L$4:L57, "Long")=COUNTIF($N$4:N57, "Close")), "Long", "")</f>
        <v/>
      </c>
      <c r="M58" s="4" t="str">
        <f>IF(L58="Long", E58*'P&amp;L'!$C$21,"")</f>
        <v/>
      </c>
      <c r="N58" s="4" t="str">
        <f>IF(AND(J58&gt;'P&amp;L'!$C$24, COUNTIF($L$4:L57, "Long") &gt; COUNTIF($N$4:N57, "Close")), "Close", "")</f>
        <v>Close</v>
      </c>
      <c r="O58" s="5" t="str">
        <f>IF(AND(E58&lt;G58, J58&lt;'P&amp;L'!$C$24, J57&gt;'P&amp;L'!$C$24, COUNTIF($O$4:O57, "Short")=COUNTIF($Q$4:Q57, "Close")), "Short", "")</f>
        <v/>
      </c>
      <c r="P58" s="5" t="str">
        <f>IF(O58="Short", E58*'P&amp;L'!$C$21, "")</f>
        <v/>
      </c>
      <c r="Q58" s="5" t="str">
        <f>IF(AND(J58&gt;'P&amp;L'!$C$23, COUNTIF($O$4:O57, "Short") &gt; COUNTIF($Q$4:Q57, "Close")), "Close", "")</f>
        <v/>
      </c>
      <c r="R58" s="6">
        <v>55105</v>
      </c>
    </row>
    <row r="59" spans="1:18" x14ac:dyDescent="0.35">
      <c r="A59" s="12">
        <v>42961</v>
      </c>
      <c r="B59" s="1">
        <v>922.53</v>
      </c>
      <c r="C59" s="1">
        <v>924.67</v>
      </c>
      <c r="D59" s="1">
        <v>918.19</v>
      </c>
      <c r="E59" s="1">
        <v>922.67</v>
      </c>
      <c r="F59" s="1">
        <v>1064530</v>
      </c>
      <c r="G59" s="6">
        <f t="shared" si="4"/>
        <v>924.2961904761903</v>
      </c>
      <c r="H59" s="6">
        <f t="shared" si="0"/>
        <v>942.48</v>
      </c>
      <c r="I59" s="6">
        <f t="shared" si="1"/>
        <v>903.4</v>
      </c>
      <c r="J59" s="6">
        <f t="shared" si="2"/>
        <v>49.309109518935415</v>
      </c>
      <c r="K59" s="6">
        <f t="shared" si="3"/>
        <v>52.584442169907902</v>
      </c>
      <c r="L59" s="4" t="str">
        <f>IF(AND(E59&gt;G59, J59&gt;'P&amp;L'!$C$23, COUNTIF($L$4:L58, "Long")=COUNTIF($N$4:N58, "Close")), "Long", "")</f>
        <v/>
      </c>
      <c r="M59" s="4" t="str">
        <f>IF(L59="Long", E59*'P&amp;L'!$C$21,"")</f>
        <v/>
      </c>
      <c r="N59" s="4" t="str">
        <f>IF(AND(J59&gt;'P&amp;L'!$C$24, COUNTIF($L$4:L58, "Long") &gt; COUNTIF($N$4:N58, "Close")), "Close", "")</f>
        <v/>
      </c>
      <c r="O59" s="5" t="str">
        <f>IF(AND(E59&lt;G59, J59&lt;'P&amp;L'!$C$24, J58&gt;'P&amp;L'!$C$24, COUNTIF($O$4:O58, "Short")=COUNTIF($Q$4:Q58, "Close")), "Short", "")</f>
        <v/>
      </c>
      <c r="P59" s="5" t="str">
        <f>IF(O59="Short", E59*'P&amp;L'!$C$21, "")</f>
        <v/>
      </c>
      <c r="Q59" s="5" t="str">
        <f>IF(AND(J59&gt;'P&amp;L'!$C$23, COUNTIF($O$4:O58, "Short") &gt; COUNTIF($Q$4:Q58, "Close")), "Close", "")</f>
        <v/>
      </c>
      <c r="R59" s="6">
        <v>55105</v>
      </c>
    </row>
    <row r="60" spans="1:18" x14ac:dyDescent="0.35">
      <c r="A60" s="12">
        <v>42958</v>
      </c>
      <c r="B60" s="1">
        <v>907.97</v>
      </c>
      <c r="C60" s="1">
        <v>917.78</v>
      </c>
      <c r="D60" s="1">
        <v>905.58</v>
      </c>
      <c r="E60" s="1">
        <v>914.39</v>
      </c>
      <c r="F60" s="1">
        <v>1206782</v>
      </c>
      <c r="G60" s="6">
        <f t="shared" si="4"/>
        <v>923.45428571428556</v>
      </c>
      <c r="H60" s="6">
        <f t="shared" si="0"/>
        <v>941.98</v>
      </c>
      <c r="I60" s="6">
        <f t="shared" si="1"/>
        <v>903.4</v>
      </c>
      <c r="J60" s="6">
        <f t="shared" si="2"/>
        <v>28.486262312078793</v>
      </c>
      <c r="K60" s="6">
        <f t="shared" si="3"/>
        <v>41.984332404947445</v>
      </c>
      <c r="L60" s="4" t="str">
        <f>IF(AND(E60&gt;G60, J60&gt;'P&amp;L'!$C$23, COUNTIF($L$4:L59, "Long")=COUNTIF($N$4:N59, "Close")), "Long", "")</f>
        <v/>
      </c>
      <c r="M60" s="4" t="str">
        <f>IF(L60="Long", E60*'P&amp;L'!$C$21,"")</f>
        <v/>
      </c>
      <c r="N60" s="4" t="str">
        <f>IF(AND(J60&gt;'P&amp;L'!$C$24, COUNTIF($L$4:L59, "Long") &gt; COUNTIF($N$4:N59, "Close")), "Close", "")</f>
        <v/>
      </c>
      <c r="O60" s="5" t="str">
        <f>IF(AND(E60&lt;G60, J60&lt;'P&amp;L'!$C$24, J59&gt;'P&amp;L'!$C$24, COUNTIF($O$4:O59, "Short")=COUNTIF($Q$4:Q59, "Close")), "Short", "")</f>
        <v>Short</v>
      </c>
      <c r="P60" s="5">
        <f>IF(O60="Short", E60*'P&amp;L'!$C$21, "")</f>
        <v>45719.5</v>
      </c>
      <c r="Q60" s="5" t="str">
        <f>IF(AND(J60&gt;'P&amp;L'!$C$23, COUNTIF($O$4:O59, "Short") &gt; COUNTIF($Q$4:Q59, "Close")), "Close", "")</f>
        <v/>
      </c>
      <c r="R60" s="6">
        <v>100824.5</v>
      </c>
    </row>
    <row r="61" spans="1:18" x14ac:dyDescent="0.35">
      <c r="A61" s="12">
        <v>42957</v>
      </c>
      <c r="B61" s="1">
        <v>917.55</v>
      </c>
      <c r="C61" s="1">
        <v>919.26</v>
      </c>
      <c r="D61" s="1">
        <v>906.13</v>
      </c>
      <c r="E61" s="1">
        <v>907.24</v>
      </c>
      <c r="F61" s="1">
        <v>1823967</v>
      </c>
      <c r="G61" s="6">
        <f t="shared" si="4"/>
        <v>922.41428571428571</v>
      </c>
      <c r="H61" s="6">
        <f t="shared" si="0"/>
        <v>932.7</v>
      </c>
      <c r="I61" s="6">
        <f t="shared" si="1"/>
        <v>903.4</v>
      </c>
      <c r="J61" s="6">
        <f t="shared" si="2"/>
        <v>13.105802047781648</v>
      </c>
      <c r="K61" s="6">
        <f t="shared" si="3"/>
        <v>30.300391292931952</v>
      </c>
      <c r="L61" s="4" t="str">
        <f>IF(AND(E61&gt;G61, J61&gt;'P&amp;L'!$C$23, COUNTIF($L$4:L60, "Long")=COUNTIF($N$4:N60, "Close")), "Long", "")</f>
        <v/>
      </c>
      <c r="M61" s="4" t="str">
        <f>IF(L61="Long", E61*'P&amp;L'!$C$21,"")</f>
        <v/>
      </c>
      <c r="N61" s="4" t="str">
        <f>IF(AND(J61&gt;'P&amp;L'!$C$24, COUNTIF($L$4:L60, "Long") &gt; COUNTIF($N$4:N60, "Close")), "Close", "")</f>
        <v/>
      </c>
      <c r="O61" s="5" t="str">
        <f>IF(AND(E61&lt;G61, J61&lt;'P&amp;L'!$C$24, J60&gt;'P&amp;L'!$C$24, COUNTIF($O$4:O60, "Short")=COUNTIF($Q$4:Q60, "Close")), "Short", "")</f>
        <v/>
      </c>
      <c r="P61" s="5" t="str">
        <f>IF(O61="Short", E61*'P&amp;L'!$C$21, "")</f>
        <v/>
      </c>
      <c r="Q61" s="5" t="str">
        <f>IF(AND(J61&gt;'P&amp;L'!$C$23, COUNTIF($O$4:O60, "Short") &gt; COUNTIF($Q$4:Q60, "Close")), "Close", "")</f>
        <v/>
      </c>
      <c r="R61" s="6">
        <v>100824.5</v>
      </c>
    </row>
    <row r="62" spans="1:18" x14ac:dyDescent="0.35">
      <c r="A62" s="12">
        <v>42956</v>
      </c>
      <c r="B62" s="1">
        <v>920.61</v>
      </c>
      <c r="C62" s="1">
        <v>925.98</v>
      </c>
      <c r="D62" s="1">
        <v>917.25</v>
      </c>
      <c r="E62" s="1">
        <v>922.9</v>
      </c>
      <c r="F62" s="1">
        <v>1192081</v>
      </c>
      <c r="G62" s="6">
        <f t="shared" si="4"/>
        <v>922.24285714285725</v>
      </c>
      <c r="H62" s="6">
        <f t="shared" si="0"/>
        <v>932.7</v>
      </c>
      <c r="I62" s="6">
        <f t="shared" si="1"/>
        <v>903.4</v>
      </c>
      <c r="J62" s="6">
        <f t="shared" si="2"/>
        <v>66.552901023890627</v>
      </c>
      <c r="K62" s="6">
        <f t="shared" si="3"/>
        <v>36.048321794583693</v>
      </c>
      <c r="L62" s="4" t="str">
        <f>IF(AND(E62&gt;G62, J62&gt;'P&amp;L'!$C$23, COUNTIF($L$4:L61, "Long")=COUNTIF($N$4:N61, "Close")), "Long", "")</f>
        <v>Long</v>
      </c>
      <c r="M62" s="4">
        <f>IF(L62="Long", E62*'P&amp;L'!$C$21,"")</f>
        <v>46145</v>
      </c>
      <c r="N62" s="4" t="str">
        <f>IF(AND(J62&gt;'P&amp;L'!$C$24, COUNTIF($L$4:L61, "Long") &gt; COUNTIF($N$4:N61, "Close")), "Close", "")</f>
        <v/>
      </c>
      <c r="O62" s="5" t="str">
        <f>IF(AND(E62&lt;G62, J62&lt;'P&amp;L'!$C$24, J61&gt;'P&amp;L'!$C$24, COUNTIF($O$4:O61, "Short")=COUNTIF($Q$4:Q61, "Close")), "Short", "")</f>
        <v/>
      </c>
      <c r="P62" s="5" t="str">
        <f>IF(O62="Short", E62*'P&amp;L'!$C$21, "")</f>
        <v/>
      </c>
      <c r="Q62" s="5" t="str">
        <f>IF(AND(J62&gt;'P&amp;L'!$C$23, COUNTIF($O$4:O61, "Short") &gt; COUNTIF($Q$4:Q61, "Close")), "Close", "")</f>
        <v>Close</v>
      </c>
      <c r="R62" s="6">
        <v>54679.5</v>
      </c>
    </row>
    <row r="63" spans="1:18" x14ac:dyDescent="0.35">
      <c r="A63" s="12">
        <v>42955</v>
      </c>
      <c r="B63" s="1">
        <v>927.09</v>
      </c>
      <c r="C63" s="1">
        <v>935.81</v>
      </c>
      <c r="D63" s="1">
        <v>925.61</v>
      </c>
      <c r="E63" s="1">
        <v>926.79</v>
      </c>
      <c r="F63" s="1">
        <v>1061579</v>
      </c>
      <c r="G63" s="6">
        <f t="shared" si="4"/>
        <v>921.80666666666673</v>
      </c>
      <c r="H63" s="6">
        <f t="shared" si="0"/>
        <v>935.81</v>
      </c>
      <c r="I63" s="6">
        <f t="shared" si="1"/>
        <v>903.4</v>
      </c>
      <c r="J63" s="6">
        <f t="shared" si="2"/>
        <v>72.169083616167867</v>
      </c>
      <c r="K63" s="6">
        <f t="shared" si="3"/>
        <v>50.609262229280056</v>
      </c>
      <c r="L63" s="4" t="str">
        <f>IF(AND(E63&gt;G63, J63&gt;'P&amp;L'!$C$23, COUNTIF($L$4:L62, "Long")=COUNTIF($N$4:N62, "Close")), "Long", "")</f>
        <v/>
      </c>
      <c r="M63" s="4" t="str">
        <f>IF(L63="Long", E63*'P&amp;L'!$C$21,"")</f>
        <v/>
      </c>
      <c r="N63" s="4" t="str">
        <f>IF(AND(J63&gt;'P&amp;L'!$C$24, COUNTIF($L$4:L62, "Long") &gt; COUNTIF($N$4:N62, "Close")), "Close", "")</f>
        <v>Close</v>
      </c>
      <c r="O63" s="5" t="str">
        <f>IF(AND(E63&lt;G63, J63&lt;'P&amp;L'!$C$24, J62&gt;'P&amp;L'!$C$24, COUNTIF($O$4:O62, "Short")=COUNTIF($Q$4:Q62, "Close")), "Short", "")</f>
        <v/>
      </c>
      <c r="P63" s="5" t="str">
        <f>IF(O63="Short", E63*'P&amp;L'!$C$21, "")</f>
        <v/>
      </c>
      <c r="Q63" s="5" t="str">
        <f>IF(AND(J63&gt;'P&amp;L'!$C$23, COUNTIF($O$4:O62, "Short") &gt; COUNTIF($Q$4:Q62, "Close")), "Close", "")</f>
        <v/>
      </c>
      <c r="R63" s="6">
        <v>101019</v>
      </c>
    </row>
    <row r="64" spans="1:18" x14ac:dyDescent="0.35">
      <c r="A64" s="12">
        <v>42954</v>
      </c>
      <c r="B64" s="1">
        <v>929.06</v>
      </c>
      <c r="C64" s="1">
        <v>931.7</v>
      </c>
      <c r="D64" s="1">
        <v>926.5</v>
      </c>
      <c r="E64" s="1">
        <v>929.36</v>
      </c>
      <c r="F64" s="1">
        <v>1032239</v>
      </c>
      <c r="G64" s="6">
        <f t="shared" si="4"/>
        <v>921.88047619047632</v>
      </c>
      <c r="H64" s="6">
        <f t="shared" si="0"/>
        <v>935.81</v>
      </c>
      <c r="I64" s="6">
        <f t="shared" si="1"/>
        <v>903.4</v>
      </c>
      <c r="J64" s="6">
        <f t="shared" si="2"/>
        <v>80.098734958346384</v>
      </c>
      <c r="K64" s="6">
        <f t="shared" si="3"/>
        <v>72.940239866134959</v>
      </c>
      <c r="L64" s="4" t="str">
        <f>IF(AND(E64&gt;G64, J64&gt;'P&amp;L'!$C$23, COUNTIF($L$4:L63, "Long")=COUNTIF($N$4:N63, "Close")), "Long", "")</f>
        <v>Long</v>
      </c>
      <c r="M64" s="4">
        <f>IF(L64="Long", E64*'P&amp;L'!$C$21,"")</f>
        <v>46468</v>
      </c>
      <c r="N64" s="4" t="str">
        <f>IF(AND(J64&gt;'P&amp;L'!$C$24, COUNTIF($L$4:L63, "Long") &gt; COUNTIF($N$4:N63, "Close")), "Close", "")</f>
        <v/>
      </c>
      <c r="O64" s="5" t="str">
        <f>IF(AND(E64&lt;G64, J64&lt;'P&amp;L'!$C$24, J63&gt;'P&amp;L'!$C$24, COUNTIF($O$4:O63, "Short")=COUNTIF($Q$4:Q63, "Close")), "Short", "")</f>
        <v/>
      </c>
      <c r="P64" s="5" t="str">
        <f>IF(O64="Short", E64*'P&amp;L'!$C$21, "")</f>
        <v/>
      </c>
      <c r="Q64" s="5" t="str">
        <f>IF(AND(J64&gt;'P&amp;L'!$C$23, COUNTIF($O$4:O63, "Short") &gt; COUNTIF($Q$4:Q63, "Close")), "Close", "")</f>
        <v/>
      </c>
      <c r="R64" s="6">
        <v>54551</v>
      </c>
    </row>
    <row r="65" spans="1:18" x14ac:dyDescent="0.35">
      <c r="A65" s="12">
        <v>42951</v>
      </c>
      <c r="B65" s="1">
        <v>926.75</v>
      </c>
      <c r="C65" s="1">
        <v>930.31</v>
      </c>
      <c r="D65" s="1">
        <v>923.03</v>
      </c>
      <c r="E65" s="1">
        <v>927.96</v>
      </c>
      <c r="F65" s="1">
        <v>1082267</v>
      </c>
      <c r="G65" s="6">
        <f t="shared" si="4"/>
        <v>921.85714285714289</v>
      </c>
      <c r="H65" s="6">
        <f t="shared" si="0"/>
        <v>935.81</v>
      </c>
      <c r="I65" s="6">
        <f t="shared" si="1"/>
        <v>903.4</v>
      </c>
      <c r="J65" s="6">
        <f t="shared" si="2"/>
        <v>75.779080530700654</v>
      </c>
      <c r="K65" s="6">
        <f t="shared" si="3"/>
        <v>76.01563303507163</v>
      </c>
      <c r="L65" s="4" t="str">
        <f>IF(AND(E65&gt;G65, J65&gt;'P&amp;L'!$C$23, COUNTIF($L$4:L64, "Long")=COUNTIF($N$4:N64, "Close")), "Long", "")</f>
        <v/>
      </c>
      <c r="M65" s="4" t="str">
        <f>IF(L65="Long", E65*'P&amp;L'!$C$21,"")</f>
        <v/>
      </c>
      <c r="N65" s="4" t="str">
        <f>IF(AND(J65&gt;'P&amp;L'!$C$24, COUNTIF($L$4:L64, "Long") &gt; COUNTIF($N$4:N64, "Close")), "Close", "")</f>
        <v>Close</v>
      </c>
      <c r="O65" s="5" t="str">
        <f>IF(AND(E65&lt;G65, J65&lt;'P&amp;L'!$C$24, J64&gt;'P&amp;L'!$C$24, COUNTIF($O$4:O64, "Short")=COUNTIF($Q$4:Q64, "Close")), "Short", "")</f>
        <v/>
      </c>
      <c r="P65" s="5" t="str">
        <f>IF(O65="Short", E65*'P&amp;L'!$C$21, "")</f>
        <v/>
      </c>
      <c r="Q65" s="5" t="str">
        <f>IF(AND(J65&gt;'P&amp;L'!$C$23, COUNTIF($O$4:O64, "Short") &gt; COUNTIF($Q$4:Q64, "Close")), "Close", "")</f>
        <v/>
      </c>
      <c r="R65" s="6">
        <v>100949</v>
      </c>
    </row>
    <row r="66" spans="1:18" x14ac:dyDescent="0.35">
      <c r="A66" s="12">
        <v>42950</v>
      </c>
      <c r="B66" s="1">
        <v>930.34</v>
      </c>
      <c r="C66" s="1">
        <v>932.24</v>
      </c>
      <c r="D66" s="1">
        <v>922.24</v>
      </c>
      <c r="E66" s="1">
        <v>923.65</v>
      </c>
      <c r="F66" s="1">
        <v>1202512</v>
      </c>
      <c r="G66" s="6">
        <f t="shared" si="4"/>
        <v>921.2052380952382</v>
      </c>
      <c r="H66" s="6">
        <f t="shared" si="0"/>
        <v>935.81</v>
      </c>
      <c r="I66" s="6">
        <f t="shared" si="1"/>
        <v>903.4</v>
      </c>
      <c r="J66" s="6">
        <f t="shared" si="2"/>
        <v>62.480715828448076</v>
      </c>
      <c r="K66" s="6">
        <f t="shared" si="3"/>
        <v>72.786177105831698</v>
      </c>
      <c r="L66" s="4" t="str">
        <f>IF(AND(E66&gt;G66, J66&gt;'P&amp;L'!$C$23, COUNTIF($L$4:L65, "Long")=COUNTIF($N$4:N65, "Close")), "Long", "")</f>
        <v>Long</v>
      </c>
      <c r="M66" s="4">
        <f>IF(L66="Long", E66*'P&amp;L'!$C$21,"")</f>
        <v>46182.5</v>
      </c>
      <c r="N66" s="4" t="str">
        <f>IF(AND(J66&gt;'P&amp;L'!$C$24, COUNTIF($L$4:L65, "Long") &gt; COUNTIF($N$4:N65, "Close")), "Close", "")</f>
        <v/>
      </c>
      <c r="O66" s="5" t="str">
        <f>IF(AND(E66&lt;G66, J66&lt;'P&amp;L'!$C$24, J65&gt;'P&amp;L'!$C$24, COUNTIF($O$4:O65, "Short")=COUNTIF($Q$4:Q65, "Close")), "Short", "")</f>
        <v/>
      </c>
      <c r="P66" s="5" t="str">
        <f>IF(O66="Short", E66*'P&amp;L'!$C$21, "")</f>
        <v/>
      </c>
      <c r="Q66" s="5" t="str">
        <f>IF(AND(J66&gt;'P&amp;L'!$C$23, COUNTIF($O$4:O65, "Short") &gt; COUNTIF($Q$4:Q65, "Close")), "Close", "")</f>
        <v/>
      </c>
      <c r="R66" s="6">
        <v>54766.5</v>
      </c>
    </row>
    <row r="67" spans="1:18" x14ac:dyDescent="0.35">
      <c r="A67" s="12">
        <v>42949</v>
      </c>
      <c r="B67" s="1">
        <v>928.61</v>
      </c>
      <c r="C67" s="1">
        <v>932.6</v>
      </c>
      <c r="D67" s="1">
        <v>916.68</v>
      </c>
      <c r="E67" s="1">
        <v>930.39</v>
      </c>
      <c r="F67" s="1">
        <v>1824448</v>
      </c>
      <c r="G67" s="6">
        <f t="shared" si="4"/>
        <v>920.77952380952377</v>
      </c>
      <c r="H67" s="6">
        <f t="shared" si="0"/>
        <v>935.81</v>
      </c>
      <c r="I67" s="6">
        <f t="shared" si="1"/>
        <v>903.4</v>
      </c>
      <c r="J67" s="6">
        <f t="shared" si="2"/>
        <v>83.276766430114264</v>
      </c>
      <c r="K67" s="6">
        <f t="shared" si="3"/>
        <v>73.845520929754329</v>
      </c>
      <c r="L67" s="4" t="str">
        <f>IF(AND(E67&gt;G67, J67&gt;'P&amp;L'!$C$23, COUNTIF($L$4:L66, "Long")=COUNTIF($N$4:N66, "Close")), "Long", "")</f>
        <v/>
      </c>
      <c r="M67" s="4" t="str">
        <f>IF(L67="Long", E67*'P&amp;L'!$C$21,"")</f>
        <v/>
      </c>
      <c r="N67" s="4" t="str">
        <f>IF(AND(J67&gt;'P&amp;L'!$C$24, COUNTIF($L$4:L66, "Long") &gt; COUNTIF($N$4:N66, "Close")), "Close", "")</f>
        <v>Close</v>
      </c>
      <c r="O67" s="5" t="str">
        <f>IF(AND(E67&lt;G67, J67&lt;'P&amp;L'!$C$24, J66&gt;'P&amp;L'!$C$24, COUNTIF($O$4:O66, "Short")=COUNTIF($Q$4:Q66, "Close")), "Short", "")</f>
        <v/>
      </c>
      <c r="P67" s="5" t="str">
        <f>IF(O67="Short", E67*'P&amp;L'!$C$21, "")</f>
        <v/>
      </c>
      <c r="Q67" s="5" t="str">
        <f>IF(AND(J67&gt;'P&amp;L'!$C$23, COUNTIF($O$4:O66, "Short") &gt; COUNTIF($Q$4:Q66, "Close")), "Close", "")</f>
        <v/>
      </c>
      <c r="R67" s="6">
        <v>101286</v>
      </c>
    </row>
    <row r="68" spans="1:18" x14ac:dyDescent="0.35">
      <c r="A68" s="12">
        <v>42948</v>
      </c>
      <c r="B68" s="1">
        <v>932.38</v>
      </c>
      <c r="C68" s="1">
        <v>937.45</v>
      </c>
      <c r="D68" s="1">
        <v>929.26</v>
      </c>
      <c r="E68" s="1">
        <v>930.83</v>
      </c>
      <c r="F68" s="1">
        <v>1277734</v>
      </c>
      <c r="G68" s="6">
        <f t="shared" si="4"/>
        <v>920.83952380952383</v>
      </c>
      <c r="H68" s="6">
        <f t="shared" si="0"/>
        <v>937.45</v>
      </c>
      <c r="I68" s="6">
        <f t="shared" si="1"/>
        <v>903.4</v>
      </c>
      <c r="J68" s="6">
        <f t="shared" si="2"/>
        <v>80.558002936857591</v>
      </c>
      <c r="K68" s="6">
        <f t="shared" si="3"/>
        <v>75.438495065139975</v>
      </c>
      <c r="L68" s="4" t="str">
        <f>IF(AND(E68&gt;G68, J68&gt;'P&amp;L'!$C$23, COUNTIF($L$4:L67, "Long")=COUNTIF($N$4:N67, "Close")), "Long", "")</f>
        <v>Long</v>
      </c>
      <c r="M68" s="4">
        <f>IF(L68="Long", E68*'P&amp;L'!$C$21,"")</f>
        <v>46541.5</v>
      </c>
      <c r="N68" s="4" t="str">
        <f>IF(AND(J68&gt;'P&amp;L'!$C$24, COUNTIF($L$4:L67, "Long") &gt; COUNTIF($N$4:N67, "Close")), "Close", "")</f>
        <v/>
      </c>
      <c r="O68" s="5" t="str">
        <f>IF(AND(E68&lt;G68, J68&lt;'P&amp;L'!$C$24, J67&gt;'P&amp;L'!$C$24, COUNTIF($O$4:O67, "Short")=COUNTIF($Q$4:Q67, "Close")), "Short", "")</f>
        <v/>
      </c>
      <c r="P68" s="5" t="str">
        <f>IF(O68="Short", E68*'P&amp;L'!$C$21, "")</f>
        <v/>
      </c>
      <c r="Q68" s="5" t="str">
        <f>IF(AND(J68&gt;'P&amp;L'!$C$23, COUNTIF($O$4:O67, "Short") &gt; COUNTIF($Q$4:Q67, "Close")), "Close", "")</f>
        <v/>
      </c>
      <c r="R68" s="6">
        <v>54744.5</v>
      </c>
    </row>
    <row r="69" spans="1:18" x14ac:dyDescent="0.35">
      <c r="A69" s="12">
        <v>42947</v>
      </c>
      <c r="B69" s="1">
        <v>941.89</v>
      </c>
      <c r="C69" s="1">
        <v>943.59</v>
      </c>
      <c r="D69" s="1">
        <v>926.04</v>
      </c>
      <c r="E69" s="1">
        <v>930.5</v>
      </c>
      <c r="F69" s="1">
        <v>1970095</v>
      </c>
      <c r="G69" s="6">
        <f t="shared" si="4"/>
        <v>921.27809523809526</v>
      </c>
      <c r="H69" s="6">
        <f t="shared" si="0"/>
        <v>943.59</v>
      </c>
      <c r="I69" s="6">
        <f t="shared" si="1"/>
        <v>905.58</v>
      </c>
      <c r="J69" s="6">
        <f t="shared" si="2"/>
        <v>65.561694290975964</v>
      </c>
      <c r="K69" s="6">
        <f t="shared" si="3"/>
        <v>76.465487885982597</v>
      </c>
      <c r="L69" s="4" t="str">
        <f>IF(AND(E69&gt;G69, J69&gt;'P&amp;L'!$C$23, COUNTIF($L$4:L68, "Long")=COUNTIF($N$4:N68, "Close")), "Long", "")</f>
        <v/>
      </c>
      <c r="M69" s="4" t="str">
        <f>IF(L69="Long", E69*'P&amp;L'!$C$21,"")</f>
        <v/>
      </c>
      <c r="N69" s="4" t="str">
        <f>IF(AND(J69&gt;'P&amp;L'!$C$24, COUNTIF($L$4:L68, "Long") &gt; COUNTIF($N$4:N68, "Close")), "Close", "")</f>
        <v>Close</v>
      </c>
      <c r="O69" s="5" t="str">
        <f>IF(AND(E69&lt;G69, J69&lt;'P&amp;L'!$C$24, J68&gt;'P&amp;L'!$C$24, COUNTIF($O$4:O68, "Short")=COUNTIF($Q$4:Q68, "Close")), "Short", "")</f>
        <v/>
      </c>
      <c r="P69" s="5" t="str">
        <f>IF(O69="Short", E69*'P&amp;L'!$C$21, "")</f>
        <v/>
      </c>
      <c r="Q69" s="5" t="str">
        <f>IF(AND(J69&gt;'P&amp;L'!$C$23, COUNTIF($O$4:O68, "Short") &gt; COUNTIF($Q$4:Q68, "Close")), "Close", "")</f>
        <v/>
      </c>
      <c r="R69" s="6">
        <v>101269.5</v>
      </c>
    </row>
    <row r="70" spans="1:18" x14ac:dyDescent="0.35">
      <c r="A70" s="12">
        <v>42944</v>
      </c>
      <c r="B70" s="1">
        <v>929.4</v>
      </c>
      <c r="C70" s="1">
        <v>943.83</v>
      </c>
      <c r="D70" s="1">
        <v>927.5</v>
      </c>
      <c r="E70" s="1">
        <v>941.53</v>
      </c>
      <c r="F70" s="1">
        <v>1846351</v>
      </c>
      <c r="G70" s="6">
        <f t="shared" si="4"/>
        <v>922.59809523809531</v>
      </c>
      <c r="H70" s="6">
        <f t="shared" si="0"/>
        <v>943.83</v>
      </c>
      <c r="I70" s="6">
        <f t="shared" si="1"/>
        <v>905.58</v>
      </c>
      <c r="J70" s="6">
        <f t="shared" si="2"/>
        <v>93.986928104574986</v>
      </c>
      <c r="K70" s="6">
        <f t="shared" si="3"/>
        <v>80.035541777469518</v>
      </c>
      <c r="L70" s="4" t="str">
        <f>IF(AND(E70&gt;G70, J70&gt;'P&amp;L'!$C$23, COUNTIF($L$4:L69, "Long")=COUNTIF($N$4:N69, "Close")), "Long", "")</f>
        <v>Long</v>
      </c>
      <c r="M70" s="4">
        <f>IF(L70="Long", E70*'P&amp;L'!$C$21,"")</f>
        <v>47076.5</v>
      </c>
      <c r="N70" s="4" t="str">
        <f>IF(AND(J70&gt;'P&amp;L'!$C$24, COUNTIF($L$4:L69, "Long") &gt; COUNTIF($N$4:N69, "Close")), "Close", "")</f>
        <v/>
      </c>
      <c r="O70" s="5" t="str">
        <f>IF(AND(E70&lt;G70, J70&lt;'P&amp;L'!$C$24, J69&gt;'P&amp;L'!$C$24, COUNTIF($O$4:O69, "Short")=COUNTIF($Q$4:Q69, "Close")), "Short", "")</f>
        <v/>
      </c>
      <c r="P70" s="5" t="str">
        <f>IF(O70="Short", E70*'P&amp;L'!$C$21, "")</f>
        <v/>
      </c>
      <c r="Q70" s="5" t="str">
        <f>IF(AND(J70&gt;'P&amp;L'!$C$23, COUNTIF($O$4:O69, "Short") &gt; COUNTIF($Q$4:Q69, "Close")), "Close", "")</f>
        <v/>
      </c>
      <c r="R70" s="6">
        <v>54193</v>
      </c>
    </row>
    <row r="71" spans="1:18" x14ac:dyDescent="0.35">
      <c r="A71" s="12">
        <v>42943</v>
      </c>
      <c r="B71" s="1">
        <v>951.78</v>
      </c>
      <c r="C71" s="1">
        <v>951.78</v>
      </c>
      <c r="D71" s="1">
        <v>920</v>
      </c>
      <c r="E71" s="1">
        <v>934.09</v>
      </c>
      <c r="F71" s="1">
        <v>3212996</v>
      </c>
      <c r="G71" s="6">
        <f t="shared" si="4"/>
        <v>923.46476190476187</v>
      </c>
      <c r="H71" s="6">
        <f t="shared" si="0"/>
        <v>951.78</v>
      </c>
      <c r="I71" s="6">
        <f t="shared" si="1"/>
        <v>905.58</v>
      </c>
      <c r="J71" s="6">
        <f t="shared" si="2"/>
        <v>61.709956709956785</v>
      </c>
      <c r="K71" s="6">
        <f t="shared" si="3"/>
        <v>73.752859701835916</v>
      </c>
      <c r="L71" s="4" t="str">
        <f>IF(AND(E71&gt;G71, J71&gt;'P&amp;L'!$C$23, COUNTIF($L$4:L70, "Long")=COUNTIF($N$4:N70, "Close")), "Long", "")</f>
        <v/>
      </c>
      <c r="M71" s="4" t="str">
        <f>IF(L71="Long", E71*'P&amp;L'!$C$21,"")</f>
        <v/>
      </c>
      <c r="N71" s="4" t="str">
        <f>IF(AND(J71&gt;'P&amp;L'!$C$24, COUNTIF($L$4:L70, "Long") &gt; COUNTIF($N$4:N70, "Close")), "Close", "")</f>
        <v>Close</v>
      </c>
      <c r="O71" s="5" t="str">
        <f>IF(AND(E71&lt;G71, J71&lt;'P&amp;L'!$C$24, J70&gt;'P&amp;L'!$C$24, COUNTIF($O$4:O70, "Short")=COUNTIF($Q$4:Q70, "Close")), "Short", "")</f>
        <v/>
      </c>
      <c r="P71" s="5" t="str">
        <f>IF(O71="Short", E71*'P&amp;L'!$C$21, "")</f>
        <v/>
      </c>
      <c r="Q71" s="5" t="str">
        <f>IF(AND(J71&gt;'P&amp;L'!$C$23, COUNTIF($O$4:O70, "Short") &gt; COUNTIF($Q$4:Q70, "Close")), "Close", "")</f>
        <v/>
      </c>
      <c r="R71" s="6">
        <v>100897.5</v>
      </c>
    </row>
    <row r="72" spans="1:18" x14ac:dyDescent="0.35">
      <c r="A72" s="12">
        <v>42942</v>
      </c>
      <c r="B72" s="1">
        <v>954.68</v>
      </c>
      <c r="C72" s="1">
        <v>955</v>
      </c>
      <c r="D72" s="1">
        <v>942.28</v>
      </c>
      <c r="E72" s="1">
        <v>947.8</v>
      </c>
      <c r="F72" s="1">
        <v>2088256</v>
      </c>
      <c r="G72" s="6">
        <f t="shared" si="4"/>
        <v>924.72761904761887</v>
      </c>
      <c r="H72" s="6">
        <f t="shared" si="0"/>
        <v>955</v>
      </c>
      <c r="I72" s="6">
        <f t="shared" si="1"/>
        <v>905.58</v>
      </c>
      <c r="J72" s="6">
        <f t="shared" si="2"/>
        <v>85.430999595305451</v>
      </c>
      <c r="K72" s="6">
        <f t="shared" si="3"/>
        <v>80.375961469945736</v>
      </c>
      <c r="L72" s="4" t="str">
        <f>IF(AND(E72&gt;G72, J72&gt;'P&amp;L'!$C$23, COUNTIF($L$4:L71, "Long")=COUNTIF($N$4:N71, "Close")), "Long", "")</f>
        <v>Long</v>
      </c>
      <c r="M72" s="4">
        <f>IF(L72="Long", E72*'P&amp;L'!$C$21,"")</f>
        <v>47390</v>
      </c>
      <c r="N72" s="4" t="str">
        <f>IF(AND(J72&gt;'P&amp;L'!$C$24, COUNTIF($L$4:L71, "Long") &gt; COUNTIF($N$4:N71, "Close")), "Close", "")</f>
        <v/>
      </c>
      <c r="O72" s="5" t="str">
        <f>IF(AND(E72&lt;G72, J72&lt;'P&amp;L'!$C$24, J71&gt;'P&amp;L'!$C$24, COUNTIF($O$4:O71, "Short")=COUNTIF($Q$4:Q71, "Close")), "Short", "")</f>
        <v/>
      </c>
      <c r="P72" s="5" t="str">
        <f>IF(O72="Short", E72*'P&amp;L'!$C$21, "")</f>
        <v/>
      </c>
      <c r="Q72" s="5" t="str">
        <f>IF(AND(J72&gt;'P&amp;L'!$C$23, COUNTIF($O$4:O71, "Short") &gt; COUNTIF($Q$4:Q71, "Close")), "Close", "")</f>
        <v/>
      </c>
      <c r="R72" s="6">
        <v>53507.5</v>
      </c>
    </row>
    <row r="73" spans="1:18" x14ac:dyDescent="0.35">
      <c r="A73" s="12">
        <v>42941</v>
      </c>
      <c r="B73" s="1">
        <v>953.81</v>
      </c>
      <c r="C73" s="1">
        <v>959.7</v>
      </c>
      <c r="D73" s="1">
        <v>945.4</v>
      </c>
      <c r="E73" s="1">
        <v>950.7</v>
      </c>
      <c r="F73" s="1">
        <v>4660979</v>
      </c>
      <c r="G73" s="6">
        <f t="shared" si="4"/>
        <v>925.85619047619048</v>
      </c>
      <c r="H73" s="6">
        <f t="shared" si="0"/>
        <v>959.7</v>
      </c>
      <c r="I73" s="6">
        <f t="shared" si="1"/>
        <v>905.58</v>
      </c>
      <c r="J73" s="6">
        <f t="shared" si="2"/>
        <v>83.370288248337033</v>
      </c>
      <c r="K73" s="6">
        <f t="shared" si="3"/>
        <v>76.837081517866423</v>
      </c>
      <c r="L73" s="4" t="str">
        <f>IF(AND(E73&gt;G73, J73&gt;'P&amp;L'!$C$23, COUNTIF($L$4:L72, "Long")=COUNTIF($N$4:N72, "Close")), "Long", "")</f>
        <v/>
      </c>
      <c r="M73" s="4" t="str">
        <f>IF(L73="Long", E73*'P&amp;L'!$C$21,"")</f>
        <v/>
      </c>
      <c r="N73" s="4" t="str">
        <f>IF(AND(J73&gt;'P&amp;L'!$C$24, COUNTIF($L$4:L72, "Long") &gt; COUNTIF($N$4:N72, "Close")), "Close", "")</f>
        <v>Close</v>
      </c>
      <c r="O73" s="5" t="str">
        <f>IF(AND(E73&lt;G73, J73&lt;'P&amp;L'!$C$24, J72&gt;'P&amp;L'!$C$24, COUNTIF($O$4:O72, "Short")=COUNTIF($Q$4:Q72, "Close")), "Short", "")</f>
        <v/>
      </c>
      <c r="P73" s="5" t="str">
        <f>IF(O73="Short", E73*'P&amp;L'!$C$21, "")</f>
        <v/>
      </c>
      <c r="Q73" s="5" t="str">
        <f>IF(AND(J73&gt;'P&amp;L'!$C$23, COUNTIF($O$4:O72, "Short") &gt; COUNTIF($Q$4:Q72, "Close")), "Close", "")</f>
        <v/>
      </c>
      <c r="R73" s="6">
        <v>101042.5</v>
      </c>
    </row>
    <row r="74" spans="1:18" x14ac:dyDescent="0.35">
      <c r="A74" s="12">
        <v>42940</v>
      </c>
      <c r="B74" s="1">
        <v>972.22</v>
      </c>
      <c r="C74" s="1">
        <v>986.2</v>
      </c>
      <c r="D74" s="1">
        <v>970.77</v>
      </c>
      <c r="E74" s="1">
        <v>980.34</v>
      </c>
      <c r="F74" s="1">
        <v>3248347</v>
      </c>
      <c r="G74" s="6">
        <f t="shared" si="4"/>
        <v>928.50619047619034</v>
      </c>
      <c r="H74" s="6">
        <f t="shared" si="0"/>
        <v>986.2</v>
      </c>
      <c r="I74" s="6">
        <f t="shared" si="1"/>
        <v>905.58</v>
      </c>
      <c r="J74" s="6">
        <f t="shared" si="2"/>
        <v>92.731332175638784</v>
      </c>
      <c r="K74" s="6">
        <f t="shared" si="3"/>
        <v>87.17754000642708</v>
      </c>
      <c r="L74" s="4" t="str">
        <f>IF(AND(E74&gt;G74, J74&gt;'P&amp;L'!$C$23, COUNTIF($L$4:L73, "Long")=COUNTIF($N$4:N73, "Close")), "Long", "")</f>
        <v>Long</v>
      </c>
      <c r="M74" s="4">
        <f>IF(L74="Long", E74*'P&amp;L'!$C$21,"")</f>
        <v>49017</v>
      </c>
      <c r="N74" s="4" t="str">
        <f>IF(AND(J74&gt;'P&amp;L'!$C$24, COUNTIF($L$4:L73, "Long") &gt; COUNTIF($N$4:N73, "Close")), "Close", "")</f>
        <v/>
      </c>
      <c r="O74" s="5" t="str">
        <f>IF(AND(E74&lt;G74, J74&lt;'P&amp;L'!$C$24, J73&gt;'P&amp;L'!$C$24, COUNTIF($O$4:O73, "Short")=COUNTIF($Q$4:Q73, "Close")), "Short", "")</f>
        <v/>
      </c>
      <c r="P74" s="5" t="str">
        <f>IF(O74="Short", E74*'P&amp;L'!$C$21, "")</f>
        <v/>
      </c>
      <c r="Q74" s="5" t="str">
        <f>IF(AND(J74&gt;'P&amp;L'!$C$23, COUNTIF($O$4:O73, "Short") &gt; COUNTIF($Q$4:Q73, "Close")), "Close", "")</f>
        <v/>
      </c>
      <c r="R74" s="6">
        <v>52025.5</v>
      </c>
    </row>
    <row r="75" spans="1:18" x14ac:dyDescent="0.35">
      <c r="A75" s="12">
        <v>42937</v>
      </c>
      <c r="B75" s="1">
        <v>962.25</v>
      </c>
      <c r="C75" s="1">
        <v>973.23</v>
      </c>
      <c r="D75" s="1">
        <v>960.15</v>
      </c>
      <c r="E75" s="1">
        <v>972.92</v>
      </c>
      <c r="F75" s="1">
        <v>1711000</v>
      </c>
      <c r="G75" s="6">
        <f t="shared" si="4"/>
        <v>931.66142857142859</v>
      </c>
      <c r="H75" s="6">
        <f t="shared" si="0"/>
        <v>986.2</v>
      </c>
      <c r="I75" s="6">
        <f t="shared" si="1"/>
        <v>906.13</v>
      </c>
      <c r="J75" s="6">
        <f t="shared" si="2"/>
        <v>83.414512301735883</v>
      </c>
      <c r="K75" s="6">
        <f t="shared" si="3"/>
        <v>86.505377575237233</v>
      </c>
      <c r="L75" s="4" t="str">
        <f>IF(AND(E75&gt;G75, J75&gt;'P&amp;L'!$C$23, COUNTIF($L$4:L74, "Long")=COUNTIF($N$4:N74, "Close")), "Long", "")</f>
        <v/>
      </c>
      <c r="M75" s="4" t="str">
        <f>IF(L75="Long", E75*'P&amp;L'!$C$21,"")</f>
        <v/>
      </c>
      <c r="N75" s="4" t="str">
        <f>IF(AND(J75&gt;'P&amp;L'!$C$24, COUNTIF($L$4:L74, "Long") &gt; COUNTIF($N$4:N74, "Close")), "Close", "")</f>
        <v>Close</v>
      </c>
      <c r="O75" s="5" t="str">
        <f>IF(AND(E75&lt;G75, J75&lt;'P&amp;L'!$C$24, J74&gt;'P&amp;L'!$C$24, COUNTIF($O$4:O74, "Short")=COUNTIF($Q$4:Q74, "Close")), "Short", "")</f>
        <v/>
      </c>
      <c r="P75" s="5" t="str">
        <f>IF(O75="Short", E75*'P&amp;L'!$C$21, "")</f>
        <v/>
      </c>
      <c r="Q75" s="5" t="str">
        <f>IF(AND(J75&gt;'P&amp;L'!$C$23, COUNTIF($O$4:O74, "Short") &gt; COUNTIF($Q$4:Q74, "Close")), "Close", "")</f>
        <v/>
      </c>
      <c r="R75" s="6">
        <v>100671.5</v>
      </c>
    </row>
    <row r="76" spans="1:18" x14ac:dyDescent="0.35">
      <c r="A76" s="12">
        <v>42936</v>
      </c>
      <c r="B76" s="1">
        <v>975</v>
      </c>
      <c r="C76" s="1">
        <v>975.9</v>
      </c>
      <c r="D76" s="1">
        <v>961.51</v>
      </c>
      <c r="E76" s="1">
        <v>968.15</v>
      </c>
      <c r="F76" s="1">
        <v>1624463</v>
      </c>
      <c r="G76" s="6">
        <f t="shared" si="4"/>
        <v>934.39857142857136</v>
      </c>
      <c r="H76" s="6">
        <f t="shared" si="0"/>
        <v>986.2</v>
      </c>
      <c r="I76" s="6">
        <f t="shared" si="1"/>
        <v>916.68</v>
      </c>
      <c r="J76" s="6">
        <f t="shared" si="2"/>
        <v>74.03624856156496</v>
      </c>
      <c r="K76" s="6">
        <f t="shared" si="3"/>
        <v>83.39403101297988</v>
      </c>
      <c r="L76" s="4" t="str">
        <f>IF(AND(E76&gt;G76, J76&gt;'P&amp;L'!$C$23, COUNTIF($L$4:L75, "Long")=COUNTIF($N$4:N75, "Close")), "Long", "")</f>
        <v>Long</v>
      </c>
      <c r="M76" s="4">
        <f>IF(L76="Long", E76*'P&amp;L'!$C$21,"")</f>
        <v>48407.5</v>
      </c>
      <c r="N76" s="4" t="str">
        <f>IF(AND(J76&gt;'P&amp;L'!$C$24, COUNTIF($L$4:L75, "Long") &gt; COUNTIF($N$4:N75, "Close")), "Close", "")</f>
        <v/>
      </c>
      <c r="O76" s="5" t="str">
        <f>IF(AND(E76&lt;G76, J76&lt;'P&amp;L'!$C$24, J75&gt;'P&amp;L'!$C$24, COUNTIF($O$4:O75, "Short")=COUNTIF($Q$4:Q75, "Close")), "Short", "")</f>
        <v/>
      </c>
      <c r="P76" s="5" t="str">
        <f>IF(O76="Short", E76*'P&amp;L'!$C$21, "")</f>
        <v/>
      </c>
      <c r="Q76" s="5" t="str">
        <f>IF(AND(J76&gt;'P&amp;L'!$C$23, COUNTIF($O$4:O75, "Short") &gt; COUNTIF($Q$4:Q75, "Close")), "Close", "")</f>
        <v/>
      </c>
      <c r="R76" s="6">
        <v>52264</v>
      </c>
    </row>
    <row r="77" spans="1:18" x14ac:dyDescent="0.35">
      <c r="A77" s="12">
        <v>42935</v>
      </c>
      <c r="B77" s="1">
        <v>967.84</v>
      </c>
      <c r="C77" s="1">
        <v>973.04</v>
      </c>
      <c r="D77" s="1">
        <v>964.03</v>
      </c>
      <c r="E77" s="1">
        <v>970.89</v>
      </c>
      <c r="F77" s="1">
        <v>1224540</v>
      </c>
      <c r="G77" s="6">
        <f t="shared" si="4"/>
        <v>937.25142857142839</v>
      </c>
      <c r="H77" s="6">
        <f t="shared" si="0"/>
        <v>986.2</v>
      </c>
      <c r="I77" s="6">
        <f t="shared" si="1"/>
        <v>916.68</v>
      </c>
      <c r="J77" s="6">
        <f t="shared" si="2"/>
        <v>77.97756041426922</v>
      </c>
      <c r="K77" s="6">
        <f t="shared" si="3"/>
        <v>78.47610709252335</v>
      </c>
      <c r="L77" s="4" t="str">
        <f>IF(AND(E77&gt;G77, J77&gt;'P&amp;L'!$C$23, COUNTIF($L$4:L76, "Long")=COUNTIF($N$4:N76, "Close")), "Long", "")</f>
        <v/>
      </c>
      <c r="M77" s="4" t="str">
        <f>IF(L77="Long", E77*'P&amp;L'!$C$21,"")</f>
        <v/>
      </c>
      <c r="N77" s="4" t="str">
        <f>IF(AND(J77&gt;'P&amp;L'!$C$24, COUNTIF($L$4:L76, "Long") &gt; COUNTIF($N$4:N76, "Close")), "Close", "")</f>
        <v>Close</v>
      </c>
      <c r="O77" s="5" t="str">
        <f>IF(AND(E77&lt;G77, J77&lt;'P&amp;L'!$C$24, J76&gt;'P&amp;L'!$C$24, COUNTIF($O$4:O76, "Short")=COUNTIF($Q$4:Q76, "Close")), "Short", "")</f>
        <v/>
      </c>
      <c r="P77" s="5" t="str">
        <f>IF(O77="Short", E77*'P&amp;L'!$C$21, "")</f>
        <v/>
      </c>
      <c r="Q77" s="5" t="str">
        <f>IF(AND(J77&gt;'P&amp;L'!$C$23, COUNTIF($O$4:O76, "Short") &gt; COUNTIF($Q$4:Q76, "Close")), "Close", "")</f>
        <v/>
      </c>
      <c r="R77" s="6">
        <v>100808.5</v>
      </c>
    </row>
    <row r="78" spans="1:18" x14ac:dyDescent="0.35">
      <c r="A78" s="12">
        <v>42934</v>
      </c>
      <c r="B78" s="1">
        <v>953</v>
      </c>
      <c r="C78" s="1">
        <v>968.04</v>
      </c>
      <c r="D78" s="1">
        <v>950.6</v>
      </c>
      <c r="E78" s="1">
        <v>965.4</v>
      </c>
      <c r="F78" s="1">
        <v>1153964</v>
      </c>
      <c r="G78" s="6">
        <f t="shared" si="4"/>
        <v>939.08190476190487</v>
      </c>
      <c r="H78" s="6">
        <f t="shared" si="0"/>
        <v>986.2</v>
      </c>
      <c r="I78" s="6">
        <f t="shared" si="1"/>
        <v>916.68</v>
      </c>
      <c r="J78" s="6">
        <f t="shared" si="2"/>
        <v>70.080552359033305</v>
      </c>
      <c r="K78" s="6">
        <f t="shared" si="3"/>
        <v>74.031453778289162</v>
      </c>
      <c r="L78" s="4" t="str">
        <f>IF(AND(E78&gt;G78, J78&gt;'P&amp;L'!$C$23, COUNTIF($L$4:L77, "Long")=COUNTIF($N$4:N77, "Close")), "Long", "")</f>
        <v>Long</v>
      </c>
      <c r="M78" s="4">
        <f>IF(L78="Long", E78*'P&amp;L'!$C$21,"")</f>
        <v>48270</v>
      </c>
      <c r="N78" s="4" t="str">
        <f>IF(AND(J78&gt;'P&amp;L'!$C$24, COUNTIF($L$4:L77, "Long") &gt; COUNTIF($N$4:N77, "Close")), "Close", "")</f>
        <v/>
      </c>
      <c r="O78" s="5" t="str">
        <f>IF(AND(E78&lt;G78, J78&lt;'P&amp;L'!$C$24, J77&gt;'P&amp;L'!$C$24, COUNTIF($O$4:O77, "Short")=COUNTIF($Q$4:Q77, "Close")), "Short", "")</f>
        <v/>
      </c>
      <c r="P78" s="5" t="str">
        <f>IF(O78="Short", E78*'P&amp;L'!$C$21, "")</f>
        <v/>
      </c>
      <c r="Q78" s="5" t="str">
        <f>IF(AND(J78&gt;'P&amp;L'!$C$23, COUNTIF($O$4:O77, "Short") &gt; COUNTIF($Q$4:Q77, "Close")), "Close", "")</f>
        <v/>
      </c>
      <c r="R78" s="6">
        <v>52538.5</v>
      </c>
    </row>
    <row r="79" spans="1:18" x14ac:dyDescent="0.35">
      <c r="A79" s="12">
        <v>42933</v>
      </c>
      <c r="B79" s="1">
        <v>957</v>
      </c>
      <c r="C79" s="1">
        <v>960.74</v>
      </c>
      <c r="D79" s="1">
        <v>949.24</v>
      </c>
      <c r="E79" s="1">
        <v>953.42</v>
      </c>
      <c r="F79" s="1">
        <v>1165537</v>
      </c>
      <c r="G79" s="6">
        <f t="shared" si="4"/>
        <v>940.56761904761902</v>
      </c>
      <c r="H79" s="6">
        <f t="shared" si="0"/>
        <v>986.2</v>
      </c>
      <c r="I79" s="6">
        <f t="shared" si="1"/>
        <v>916.68</v>
      </c>
      <c r="J79" s="6">
        <f t="shared" si="2"/>
        <v>52.84810126582272</v>
      </c>
      <c r="K79" s="6">
        <f t="shared" si="3"/>
        <v>66.968738013041744</v>
      </c>
      <c r="L79" s="4" t="str">
        <f>IF(AND(E79&gt;G79, J79&gt;'P&amp;L'!$C$23, COUNTIF($L$4:L78, "Long")=COUNTIF($N$4:N78, "Close")), "Long", "")</f>
        <v/>
      </c>
      <c r="M79" s="4" t="str">
        <f>IF(L79="Long", E79*'P&amp;L'!$C$21,"")</f>
        <v/>
      </c>
      <c r="N79" s="4" t="str">
        <f>IF(AND(J79&gt;'P&amp;L'!$C$24, COUNTIF($L$4:L78, "Long") &gt; COUNTIF($N$4:N78, "Close")), "Close", "")</f>
        <v>Close</v>
      </c>
      <c r="O79" s="5" t="str">
        <f>IF(AND(E79&lt;G79, J79&lt;'P&amp;L'!$C$24, J78&gt;'P&amp;L'!$C$24, COUNTIF($O$4:O78, "Short")=COUNTIF($Q$4:Q78, "Close")), "Short", "")</f>
        <v/>
      </c>
      <c r="P79" s="5" t="str">
        <f>IF(O79="Short", E79*'P&amp;L'!$C$21, "")</f>
        <v/>
      </c>
      <c r="Q79" s="5" t="str">
        <f>IF(AND(J79&gt;'P&amp;L'!$C$23, COUNTIF($O$4:O78, "Short") &gt; COUNTIF($Q$4:Q78, "Close")), "Close", "")</f>
        <v/>
      </c>
      <c r="R79" s="6">
        <v>100209.5</v>
      </c>
    </row>
    <row r="80" spans="1:18" x14ac:dyDescent="0.35">
      <c r="A80" s="12">
        <v>42930</v>
      </c>
      <c r="B80" s="1">
        <v>952</v>
      </c>
      <c r="C80" s="1">
        <v>956.91</v>
      </c>
      <c r="D80" s="1">
        <v>948</v>
      </c>
      <c r="E80" s="1">
        <v>955.99</v>
      </c>
      <c r="F80" s="1">
        <v>1053774</v>
      </c>
      <c r="G80" s="6">
        <f t="shared" si="4"/>
        <v>942.15428571428583</v>
      </c>
      <c r="H80" s="6">
        <f t="shared" si="0"/>
        <v>986.2</v>
      </c>
      <c r="I80" s="6">
        <f t="shared" si="1"/>
        <v>916.68</v>
      </c>
      <c r="J80" s="6">
        <f t="shared" si="2"/>
        <v>56.54487917146146</v>
      </c>
      <c r="K80" s="6">
        <f t="shared" si="3"/>
        <v>59.824510932105831</v>
      </c>
      <c r="L80" s="4" t="str">
        <f>IF(AND(E80&gt;G80, J80&gt;'P&amp;L'!$C$23, COUNTIF($L$4:L79, "Long")=COUNTIF($N$4:N79, "Close")), "Long", "")</f>
        <v>Long</v>
      </c>
      <c r="M80" s="4">
        <f>IF(L80="Long", E80*'P&amp;L'!$C$21,"")</f>
        <v>47799.5</v>
      </c>
      <c r="N80" s="4" t="str">
        <f>IF(AND(J80&gt;'P&amp;L'!$C$24, COUNTIF($L$4:L79, "Long") &gt; COUNTIF($N$4:N79, "Close")), "Close", "")</f>
        <v/>
      </c>
      <c r="O80" s="5" t="str">
        <f>IF(AND(E80&lt;G80, J80&lt;'P&amp;L'!$C$24, J79&gt;'P&amp;L'!$C$24, COUNTIF($O$4:O79, "Short")=COUNTIF($Q$4:Q79, "Close")), "Short", "")</f>
        <v/>
      </c>
      <c r="P80" s="5" t="str">
        <f>IF(O80="Short", E80*'P&amp;L'!$C$21, "")</f>
        <v/>
      </c>
      <c r="Q80" s="5" t="str">
        <f>IF(AND(J80&gt;'P&amp;L'!$C$23, COUNTIF($O$4:O79, "Short") &gt; COUNTIF($Q$4:Q79, "Close")), "Close", "")</f>
        <v/>
      </c>
      <c r="R80" s="6">
        <v>52410</v>
      </c>
    </row>
    <row r="81" spans="1:18" x14ac:dyDescent="0.35">
      <c r="A81" s="12">
        <v>42929</v>
      </c>
      <c r="B81" s="1">
        <v>946.29</v>
      </c>
      <c r="C81" s="1">
        <v>954.45</v>
      </c>
      <c r="D81" s="1">
        <v>943.01</v>
      </c>
      <c r="E81" s="1">
        <v>947.16</v>
      </c>
      <c r="F81" s="1">
        <v>1294687</v>
      </c>
      <c r="G81" s="6">
        <f t="shared" si="4"/>
        <v>943.71476190476187</v>
      </c>
      <c r="H81" s="6">
        <f t="shared" si="0"/>
        <v>986.2</v>
      </c>
      <c r="I81" s="6">
        <f t="shared" si="1"/>
        <v>916.68</v>
      </c>
      <c r="J81" s="6">
        <f t="shared" si="2"/>
        <v>43.843498273877984</v>
      </c>
      <c r="K81" s="6">
        <f t="shared" si="3"/>
        <v>51.078826237054052</v>
      </c>
      <c r="L81" s="4" t="str">
        <f>IF(AND(E81&gt;G81, J81&gt;'P&amp;L'!$C$23, COUNTIF($L$4:L80, "Long")=COUNTIF($N$4:N80, "Close")), "Long", "")</f>
        <v/>
      </c>
      <c r="M81" s="4" t="str">
        <f>IF(L81="Long", E81*'P&amp;L'!$C$21,"")</f>
        <v/>
      </c>
      <c r="N81" s="4" t="str">
        <f>IF(AND(J81&gt;'P&amp;L'!$C$24, COUNTIF($L$4:L80, "Long") &gt; COUNTIF($N$4:N80, "Close")), "Close", "")</f>
        <v>Close</v>
      </c>
      <c r="O81" s="5" t="str">
        <f>IF(AND(E81&lt;G81, J81&lt;'P&amp;L'!$C$24, J80&gt;'P&amp;L'!$C$24, COUNTIF($O$4:O80, "Short")=COUNTIF($Q$4:Q80, "Close")), "Short", "")</f>
        <v/>
      </c>
      <c r="P81" s="5" t="str">
        <f>IF(O81="Short", E81*'P&amp;L'!$C$21, "")</f>
        <v/>
      </c>
      <c r="Q81" s="5" t="str">
        <f>IF(AND(J81&gt;'P&amp;L'!$C$23, COUNTIF($O$4:O80, "Short") &gt; COUNTIF($Q$4:Q80, "Close")), "Close", "")</f>
        <v/>
      </c>
      <c r="R81" s="6">
        <v>99768</v>
      </c>
    </row>
    <row r="82" spans="1:18" x14ac:dyDescent="0.35">
      <c r="A82" s="12">
        <v>42928</v>
      </c>
      <c r="B82" s="1">
        <v>938.68</v>
      </c>
      <c r="C82" s="1">
        <v>946.3</v>
      </c>
      <c r="D82" s="1">
        <v>934.47</v>
      </c>
      <c r="E82" s="1">
        <v>943.83</v>
      </c>
      <c r="F82" s="1">
        <v>1532144</v>
      </c>
      <c r="G82" s="6">
        <f t="shared" si="4"/>
        <v>945.45714285714291</v>
      </c>
      <c r="H82" s="6">
        <f t="shared" si="0"/>
        <v>986.2</v>
      </c>
      <c r="I82" s="6">
        <f t="shared" si="1"/>
        <v>920</v>
      </c>
      <c r="J82" s="6">
        <f t="shared" si="2"/>
        <v>35.996978851963782</v>
      </c>
      <c r="K82" s="6">
        <f t="shared" si="3"/>
        <v>45.461785432434404</v>
      </c>
      <c r="L82" s="4" t="str">
        <f>IF(AND(E82&gt;G82, J82&gt;'P&amp;L'!$C$23, COUNTIF($L$4:L81, "Long")=COUNTIF($N$4:N81, "Close")), "Long", "")</f>
        <v/>
      </c>
      <c r="M82" s="4" t="str">
        <f>IF(L82="Long", E82*'P&amp;L'!$C$21,"")</f>
        <v/>
      </c>
      <c r="N82" s="4" t="str">
        <f>IF(AND(J82&gt;'P&amp;L'!$C$24, COUNTIF($L$4:L81, "Long") &gt; COUNTIF($N$4:N81, "Close")), "Close", "")</f>
        <v/>
      </c>
      <c r="O82" s="5" t="str">
        <f>IF(AND(E82&lt;G82, J82&lt;'P&amp;L'!$C$24, J81&gt;'P&amp;L'!$C$24, COUNTIF($O$4:O81, "Short")=COUNTIF($Q$4:Q81, "Close")), "Short", "")</f>
        <v>Short</v>
      </c>
      <c r="P82" s="5">
        <f>IF(O82="Short", E82*'P&amp;L'!$C$21, "")</f>
        <v>47191.5</v>
      </c>
      <c r="Q82" s="5" t="str">
        <f>IF(AND(J82&gt;'P&amp;L'!$C$23, COUNTIF($O$4:O81, "Short") &gt; COUNTIF($Q$4:Q81, "Close")), "Close", "")</f>
        <v/>
      </c>
      <c r="R82" s="6">
        <v>146959.5</v>
      </c>
    </row>
    <row r="83" spans="1:18" x14ac:dyDescent="0.35">
      <c r="A83" s="12">
        <v>42927</v>
      </c>
      <c r="B83" s="1">
        <v>929.54</v>
      </c>
      <c r="C83" s="1">
        <v>931.43</v>
      </c>
      <c r="D83" s="1">
        <v>922</v>
      </c>
      <c r="E83" s="1">
        <v>930.09</v>
      </c>
      <c r="F83" s="1">
        <v>1113235</v>
      </c>
      <c r="G83" s="6">
        <f t="shared" si="4"/>
        <v>945.79952380952386</v>
      </c>
      <c r="H83" s="6">
        <f t="shared" ref="H83:H146" si="5">MAX(C69:C83)</f>
        <v>986.2</v>
      </c>
      <c r="I83" s="6">
        <f t="shared" ref="I83:I146" si="6">MIN(D69:D83)</f>
        <v>920</v>
      </c>
      <c r="J83" s="6">
        <f t="shared" ref="J83:J146" si="7">(E83-I83)/(H83-I83)*100</f>
        <v>15.241691842900341</v>
      </c>
      <c r="K83" s="6">
        <f t="shared" si="3"/>
        <v>31.694056322914037</v>
      </c>
      <c r="L83" s="4" t="str">
        <f>IF(AND(E83&gt;G83, J83&gt;'P&amp;L'!$C$23, COUNTIF($L$4:L82, "Long")=COUNTIF($N$4:N82, "Close")), "Long", "")</f>
        <v/>
      </c>
      <c r="M83" s="4" t="str">
        <f>IF(L83="Long", E83*'P&amp;L'!$C$21,"")</f>
        <v/>
      </c>
      <c r="N83" s="4" t="str">
        <f>IF(AND(J83&gt;'P&amp;L'!$C$24, COUNTIF($L$4:L82, "Long") &gt; COUNTIF($N$4:N82, "Close")), "Close", "")</f>
        <v/>
      </c>
      <c r="O83" s="5" t="str">
        <f>IF(AND(E83&lt;G83, J83&lt;'P&amp;L'!$C$24, J82&gt;'P&amp;L'!$C$24, COUNTIF($O$4:O82, "Short")=COUNTIF($Q$4:Q82, "Close")), "Short", "")</f>
        <v/>
      </c>
      <c r="P83" s="5" t="str">
        <f>IF(O83="Short", E83*'P&amp;L'!$C$21, "")</f>
        <v/>
      </c>
      <c r="Q83" s="5" t="str">
        <f>IF(AND(J83&gt;'P&amp;L'!$C$23, COUNTIF($O$4:O82, "Short") &gt; COUNTIF($Q$4:Q82, "Close")), "Close", "")</f>
        <v/>
      </c>
      <c r="R83" s="6">
        <v>146959.5</v>
      </c>
    </row>
    <row r="84" spans="1:18" x14ac:dyDescent="0.35">
      <c r="A84" s="12">
        <v>42926</v>
      </c>
      <c r="B84" s="1">
        <v>921.77</v>
      </c>
      <c r="C84" s="1">
        <v>930.38</v>
      </c>
      <c r="D84" s="1">
        <v>919.59</v>
      </c>
      <c r="E84" s="1">
        <v>928.8</v>
      </c>
      <c r="F84" s="1">
        <v>1192825</v>
      </c>
      <c r="G84" s="6">
        <f t="shared" si="4"/>
        <v>945.89523809523826</v>
      </c>
      <c r="H84" s="6">
        <f t="shared" si="5"/>
        <v>986.2</v>
      </c>
      <c r="I84" s="6">
        <f t="shared" si="6"/>
        <v>919.59</v>
      </c>
      <c r="J84" s="6">
        <f t="shared" si="7"/>
        <v>13.826752739828734</v>
      </c>
      <c r="K84" s="6">
        <f t="shared" si="3"/>
        <v>21.688474478230955</v>
      </c>
      <c r="L84" s="4" t="str">
        <f>IF(AND(E84&gt;G84, J84&gt;'P&amp;L'!$C$23, COUNTIF($L$4:L83, "Long")=COUNTIF($N$4:N83, "Close")), "Long", "")</f>
        <v/>
      </c>
      <c r="M84" s="4" t="str">
        <f>IF(L84="Long", E84*'P&amp;L'!$C$21,"")</f>
        <v/>
      </c>
      <c r="N84" s="4" t="str">
        <f>IF(AND(J84&gt;'P&amp;L'!$C$24, COUNTIF($L$4:L83, "Long") &gt; COUNTIF($N$4:N83, "Close")), "Close", "")</f>
        <v/>
      </c>
      <c r="O84" s="5" t="str">
        <f>IF(AND(E84&lt;G84, J84&lt;'P&amp;L'!$C$24, J83&gt;'P&amp;L'!$C$24, COUNTIF($O$4:O83, "Short")=COUNTIF($Q$4:Q83, "Close")), "Short", "")</f>
        <v/>
      </c>
      <c r="P84" s="5" t="str">
        <f>IF(O84="Short", E84*'P&amp;L'!$C$21, "")</f>
        <v/>
      </c>
      <c r="Q84" s="5" t="str">
        <f>IF(AND(J84&gt;'P&amp;L'!$C$23, COUNTIF($O$4:O83, "Short") &gt; COUNTIF($Q$4:Q83, "Close")), "Close", "")</f>
        <v/>
      </c>
      <c r="R84" s="6">
        <v>146959.5</v>
      </c>
    </row>
    <row r="85" spans="1:18" x14ac:dyDescent="0.35">
      <c r="A85" s="12">
        <v>42923</v>
      </c>
      <c r="B85" s="1">
        <v>908.85</v>
      </c>
      <c r="C85" s="1">
        <v>921.54</v>
      </c>
      <c r="D85" s="1">
        <v>908.85</v>
      </c>
      <c r="E85" s="1">
        <v>918.59</v>
      </c>
      <c r="F85" s="1">
        <v>1637785</v>
      </c>
      <c r="G85" s="6">
        <f t="shared" si="4"/>
        <v>945.38238095238091</v>
      </c>
      <c r="H85" s="6">
        <f t="shared" si="5"/>
        <v>986.2</v>
      </c>
      <c r="I85" s="6">
        <f t="shared" si="6"/>
        <v>908.85</v>
      </c>
      <c r="J85" s="6">
        <f t="shared" si="7"/>
        <v>12.592113768584365</v>
      </c>
      <c r="K85" s="6">
        <f t="shared" ref="K85:K148" si="8">AVERAGE(J83:J85)</f>
        <v>13.886852783771147</v>
      </c>
      <c r="L85" s="4" t="str">
        <f>IF(AND(E85&gt;G85, J85&gt;'P&amp;L'!$C$23, COUNTIF($L$4:L84, "Long")=COUNTIF($N$4:N84, "Close")), "Long", "")</f>
        <v/>
      </c>
      <c r="M85" s="4" t="str">
        <f>IF(L85="Long", E85*'P&amp;L'!$C$21,"")</f>
        <v/>
      </c>
      <c r="N85" s="4" t="str">
        <f>IF(AND(J85&gt;'P&amp;L'!$C$24, COUNTIF($L$4:L84, "Long") &gt; COUNTIF($N$4:N84, "Close")), "Close", "")</f>
        <v/>
      </c>
      <c r="O85" s="5" t="str">
        <f>IF(AND(E85&lt;G85, J85&lt;'P&amp;L'!$C$24, J84&gt;'P&amp;L'!$C$24, COUNTIF($O$4:O84, "Short")=COUNTIF($Q$4:Q84, "Close")), "Short", "")</f>
        <v/>
      </c>
      <c r="P85" s="5" t="str">
        <f>IF(O85="Short", E85*'P&amp;L'!$C$21, "")</f>
        <v/>
      </c>
      <c r="Q85" s="5" t="str">
        <f>IF(AND(J85&gt;'P&amp;L'!$C$23, COUNTIF($O$4:O84, "Short") &gt; COUNTIF($Q$4:Q84, "Close")), "Close", "")</f>
        <v/>
      </c>
      <c r="R85" s="6">
        <v>146959.5</v>
      </c>
    </row>
    <row r="86" spans="1:18" x14ac:dyDescent="0.35">
      <c r="A86" s="12">
        <v>42922</v>
      </c>
      <c r="B86" s="1">
        <v>904.12</v>
      </c>
      <c r="C86" s="1">
        <v>914.94</v>
      </c>
      <c r="D86" s="1">
        <v>899.7</v>
      </c>
      <c r="E86" s="1">
        <v>906.69</v>
      </c>
      <c r="F86" s="1">
        <v>1424503</v>
      </c>
      <c r="G86" s="6">
        <f t="shared" si="4"/>
        <v>944.36952380952357</v>
      </c>
      <c r="H86" s="6">
        <f t="shared" si="5"/>
        <v>986.2</v>
      </c>
      <c r="I86" s="6">
        <f t="shared" si="6"/>
        <v>899.7</v>
      </c>
      <c r="J86" s="6">
        <f t="shared" si="7"/>
        <v>8.0809248554913395</v>
      </c>
      <c r="K86" s="6">
        <f t="shared" si="8"/>
        <v>11.499930454634812</v>
      </c>
      <c r="L86" s="4" t="str">
        <f>IF(AND(E86&gt;G86, J86&gt;'P&amp;L'!$C$23, COUNTIF($L$4:L85, "Long")=COUNTIF($N$4:N85, "Close")), "Long", "")</f>
        <v/>
      </c>
      <c r="M86" s="4" t="str">
        <f>IF(L86="Long", E86*'P&amp;L'!$C$21,"")</f>
        <v/>
      </c>
      <c r="N86" s="4" t="str">
        <f>IF(AND(J86&gt;'P&amp;L'!$C$24, COUNTIF($L$4:L85, "Long") &gt; COUNTIF($N$4:N85, "Close")), "Close", "")</f>
        <v/>
      </c>
      <c r="O86" s="5" t="str">
        <f>IF(AND(E86&lt;G86, J86&lt;'P&amp;L'!$C$24, J85&gt;'P&amp;L'!$C$24, COUNTIF($O$4:O85, "Short")=COUNTIF($Q$4:Q85, "Close")), "Short", "")</f>
        <v/>
      </c>
      <c r="P86" s="5" t="str">
        <f>IF(O86="Short", E86*'P&amp;L'!$C$21, "")</f>
        <v/>
      </c>
      <c r="Q86" s="5" t="str">
        <f>IF(AND(J86&gt;'P&amp;L'!$C$23, COUNTIF($O$4:O85, "Short") &gt; COUNTIF($Q$4:Q85, "Close")), "Close", "")</f>
        <v/>
      </c>
      <c r="R86" s="6">
        <v>146959.5</v>
      </c>
    </row>
    <row r="87" spans="1:18" x14ac:dyDescent="0.35">
      <c r="A87" s="12">
        <v>42921</v>
      </c>
      <c r="B87" s="1">
        <v>901.76</v>
      </c>
      <c r="C87" s="1">
        <v>914.51</v>
      </c>
      <c r="D87" s="1">
        <v>898.5</v>
      </c>
      <c r="E87" s="1">
        <v>911.71</v>
      </c>
      <c r="F87" s="1">
        <v>1813884</v>
      </c>
      <c r="G87" s="6">
        <f t="shared" si="4"/>
        <v>943.80095238095214</v>
      </c>
      <c r="H87" s="6">
        <f t="shared" si="5"/>
        <v>986.2</v>
      </c>
      <c r="I87" s="6">
        <f t="shared" si="6"/>
        <v>898.5</v>
      </c>
      <c r="J87" s="6">
        <f t="shared" si="7"/>
        <v>15.062713797035382</v>
      </c>
      <c r="K87" s="6">
        <f t="shared" si="8"/>
        <v>11.911917473703696</v>
      </c>
      <c r="L87" s="4" t="str">
        <f>IF(AND(E87&gt;G87, J87&gt;'P&amp;L'!$C$23, COUNTIF($L$4:L86, "Long")=COUNTIF($N$4:N86, "Close")), "Long", "")</f>
        <v/>
      </c>
      <c r="M87" s="4" t="str">
        <f>IF(L87="Long", E87*'P&amp;L'!$C$21,"")</f>
        <v/>
      </c>
      <c r="N87" s="4" t="str">
        <f>IF(AND(J87&gt;'P&amp;L'!$C$24, COUNTIF($L$4:L86, "Long") &gt; COUNTIF($N$4:N86, "Close")), "Close", "")</f>
        <v/>
      </c>
      <c r="O87" s="5" t="str">
        <f>IF(AND(E87&lt;G87, J87&lt;'P&amp;L'!$C$24, J86&gt;'P&amp;L'!$C$24, COUNTIF($O$4:O86, "Short")=COUNTIF($Q$4:Q86, "Close")), "Short", "")</f>
        <v/>
      </c>
      <c r="P87" s="5" t="str">
        <f>IF(O87="Short", E87*'P&amp;L'!$C$21, "")</f>
        <v/>
      </c>
      <c r="Q87" s="5" t="str">
        <f>IF(AND(J87&gt;'P&amp;L'!$C$23, COUNTIF($O$4:O86, "Short") &gt; COUNTIF($Q$4:Q86, "Close")), "Close", "")</f>
        <v/>
      </c>
      <c r="R87" s="6">
        <v>146959.5</v>
      </c>
    </row>
    <row r="88" spans="1:18" x14ac:dyDescent="0.35">
      <c r="A88" s="12">
        <v>42919</v>
      </c>
      <c r="B88" s="1">
        <v>912.18</v>
      </c>
      <c r="C88" s="1">
        <v>913.94</v>
      </c>
      <c r="D88" s="1">
        <v>894.79</v>
      </c>
      <c r="E88" s="1">
        <v>898.7</v>
      </c>
      <c r="F88" s="1">
        <v>1710373</v>
      </c>
      <c r="G88" s="6">
        <f t="shared" si="4"/>
        <v>942.29190476190468</v>
      </c>
      <c r="H88" s="6">
        <f t="shared" si="5"/>
        <v>986.2</v>
      </c>
      <c r="I88" s="6">
        <f t="shared" si="6"/>
        <v>894.79</v>
      </c>
      <c r="J88" s="6">
        <f t="shared" si="7"/>
        <v>4.2774313532437134</v>
      </c>
      <c r="K88" s="6">
        <f t="shared" si="8"/>
        <v>9.1403566685901456</v>
      </c>
      <c r="L88" s="4" t="str">
        <f>IF(AND(E88&gt;G88, J88&gt;'P&amp;L'!$C$23, COUNTIF($L$4:L87, "Long")=COUNTIF($N$4:N87, "Close")), "Long", "")</f>
        <v/>
      </c>
      <c r="M88" s="4" t="str">
        <f>IF(L88="Long", E88*'P&amp;L'!$C$21,"")</f>
        <v/>
      </c>
      <c r="N88" s="4" t="str">
        <f>IF(AND(J88&gt;'P&amp;L'!$C$24, COUNTIF($L$4:L87, "Long") &gt; COUNTIF($N$4:N87, "Close")), "Close", "")</f>
        <v/>
      </c>
      <c r="O88" s="5" t="str">
        <f>IF(AND(E88&lt;G88, J88&lt;'P&amp;L'!$C$24, J87&gt;'P&amp;L'!$C$24, COUNTIF($O$4:O87, "Short")=COUNTIF($Q$4:Q87, "Close")), "Short", "")</f>
        <v/>
      </c>
      <c r="P88" s="5" t="str">
        <f>IF(O88="Short", E88*'P&amp;L'!$C$21, "")</f>
        <v/>
      </c>
      <c r="Q88" s="5" t="str">
        <f>IF(AND(J88&gt;'P&amp;L'!$C$23, COUNTIF($O$4:O87, "Short") &gt; COUNTIF($Q$4:Q87, "Close")), "Close", "")</f>
        <v/>
      </c>
      <c r="R88" s="6">
        <v>146959.5</v>
      </c>
    </row>
    <row r="89" spans="1:18" x14ac:dyDescent="0.35">
      <c r="A89" s="12">
        <v>42916</v>
      </c>
      <c r="B89" s="1">
        <v>926.05</v>
      </c>
      <c r="C89" s="1">
        <v>926.05</v>
      </c>
      <c r="D89" s="1">
        <v>908.31</v>
      </c>
      <c r="E89" s="1">
        <v>908.73</v>
      </c>
      <c r="F89" s="1">
        <v>2090226</v>
      </c>
      <c r="G89" s="6">
        <f t="shared" ref="G89:G152" si="9">AVERAGE(E69:E89)</f>
        <v>941.2395238095238</v>
      </c>
      <c r="H89" s="6">
        <f t="shared" si="5"/>
        <v>975.9</v>
      </c>
      <c r="I89" s="6">
        <f t="shared" si="6"/>
        <v>894.79</v>
      </c>
      <c r="J89" s="6">
        <f t="shared" si="7"/>
        <v>17.186536801874063</v>
      </c>
      <c r="K89" s="6">
        <f t="shared" si="8"/>
        <v>12.175560650717719</v>
      </c>
      <c r="L89" s="4" t="str">
        <f>IF(AND(E89&gt;G89, J89&gt;'P&amp;L'!$C$23, COUNTIF($L$4:L88, "Long")=COUNTIF($N$4:N88, "Close")), "Long", "")</f>
        <v/>
      </c>
      <c r="M89" s="4" t="str">
        <f>IF(L89="Long", E89*'P&amp;L'!$C$21,"")</f>
        <v/>
      </c>
      <c r="N89" s="4" t="str">
        <f>IF(AND(J89&gt;'P&amp;L'!$C$24, COUNTIF($L$4:L88, "Long") &gt; COUNTIF($N$4:N88, "Close")), "Close", "")</f>
        <v/>
      </c>
      <c r="O89" s="5" t="str">
        <f>IF(AND(E89&lt;G89, J89&lt;'P&amp;L'!$C$24, J88&gt;'P&amp;L'!$C$24, COUNTIF($O$4:O88, "Short")=COUNTIF($Q$4:Q88, "Close")), "Short", "")</f>
        <v/>
      </c>
      <c r="P89" s="5" t="str">
        <f>IF(O89="Short", E89*'P&amp;L'!$C$21, "")</f>
        <v/>
      </c>
      <c r="Q89" s="5" t="str">
        <f>IF(AND(J89&gt;'P&amp;L'!$C$23, COUNTIF($O$4:O88, "Short") &gt; COUNTIF($Q$4:Q88, "Close")), "Close", "")</f>
        <v/>
      </c>
      <c r="R89" s="6">
        <v>146959.5</v>
      </c>
    </row>
    <row r="90" spans="1:18" x14ac:dyDescent="0.35">
      <c r="A90" s="12">
        <v>42915</v>
      </c>
      <c r="B90" s="1">
        <v>929.92</v>
      </c>
      <c r="C90" s="1">
        <v>931.26</v>
      </c>
      <c r="D90" s="1">
        <v>910.62</v>
      </c>
      <c r="E90" s="1">
        <v>917.79</v>
      </c>
      <c r="F90" s="1">
        <v>3299176</v>
      </c>
      <c r="G90" s="6">
        <f t="shared" si="9"/>
        <v>940.63428571428574</v>
      </c>
      <c r="H90" s="6">
        <f t="shared" si="5"/>
        <v>975.9</v>
      </c>
      <c r="I90" s="6">
        <f t="shared" si="6"/>
        <v>894.79</v>
      </c>
      <c r="J90" s="6">
        <f t="shared" si="7"/>
        <v>28.356552829490809</v>
      </c>
      <c r="K90" s="6">
        <f t="shared" si="8"/>
        <v>16.60684032820286</v>
      </c>
      <c r="L90" s="4" t="str">
        <f>IF(AND(E90&gt;G90, J90&gt;'P&amp;L'!$C$23, COUNTIF($L$4:L89, "Long")=COUNTIF($N$4:N89, "Close")), "Long", "")</f>
        <v/>
      </c>
      <c r="M90" s="4" t="str">
        <f>IF(L90="Long", E90*'P&amp;L'!$C$21,"")</f>
        <v/>
      </c>
      <c r="N90" s="4" t="str">
        <f>IF(AND(J90&gt;'P&amp;L'!$C$24, COUNTIF($L$4:L89, "Long") &gt; COUNTIF($N$4:N89, "Close")), "Close", "")</f>
        <v/>
      </c>
      <c r="O90" s="5" t="str">
        <f>IF(AND(E90&lt;G90, J90&lt;'P&amp;L'!$C$24, J89&gt;'P&amp;L'!$C$24, COUNTIF($O$4:O89, "Short")=COUNTIF($Q$4:Q89, "Close")), "Short", "")</f>
        <v/>
      </c>
      <c r="P90" s="5" t="str">
        <f>IF(O90="Short", E90*'P&amp;L'!$C$21, "")</f>
        <v/>
      </c>
      <c r="Q90" s="5" t="str">
        <f>IF(AND(J90&gt;'P&amp;L'!$C$23, COUNTIF($O$4:O89, "Short") &gt; COUNTIF($Q$4:Q89, "Close")), "Close", "")</f>
        <v>Close</v>
      </c>
      <c r="R90" s="6">
        <v>101070</v>
      </c>
    </row>
    <row r="91" spans="1:18" x14ac:dyDescent="0.35">
      <c r="A91" s="12">
        <v>42914</v>
      </c>
      <c r="B91" s="1">
        <v>929</v>
      </c>
      <c r="C91" s="1">
        <v>942.75</v>
      </c>
      <c r="D91" s="1">
        <v>916</v>
      </c>
      <c r="E91" s="1">
        <v>940.49</v>
      </c>
      <c r="F91" s="1">
        <v>2721406</v>
      </c>
      <c r="G91" s="6">
        <f t="shared" si="9"/>
        <v>940.58476190476199</v>
      </c>
      <c r="H91" s="6">
        <f t="shared" si="5"/>
        <v>973.04</v>
      </c>
      <c r="I91" s="6">
        <f t="shared" si="6"/>
        <v>894.79</v>
      </c>
      <c r="J91" s="6">
        <f t="shared" si="7"/>
        <v>58.402555910543185</v>
      </c>
      <c r="K91" s="6">
        <f t="shared" si="8"/>
        <v>34.648548513969352</v>
      </c>
      <c r="L91" s="4" t="str">
        <f>IF(AND(E91&gt;G91, J91&gt;'P&amp;L'!$C$23, COUNTIF($L$4:L90, "Long")=COUNTIF($N$4:N90, "Close")), "Long", "")</f>
        <v/>
      </c>
      <c r="M91" s="4" t="str">
        <f>IF(L91="Long", E91*'P&amp;L'!$C$21,"")</f>
        <v/>
      </c>
      <c r="N91" s="4" t="str">
        <f>IF(AND(J91&gt;'P&amp;L'!$C$24, COUNTIF($L$4:L90, "Long") &gt; COUNTIF($N$4:N90, "Close")), "Close", "")</f>
        <v/>
      </c>
      <c r="O91" s="5" t="str">
        <f>IF(AND(E91&lt;G91, J91&lt;'P&amp;L'!$C$24, J90&gt;'P&amp;L'!$C$24, COUNTIF($O$4:O90, "Short")=COUNTIF($Q$4:Q90, "Close")), "Short", "")</f>
        <v/>
      </c>
      <c r="P91" s="5" t="str">
        <f>IF(O91="Short", E91*'P&amp;L'!$C$21, "")</f>
        <v/>
      </c>
      <c r="Q91" s="5" t="str">
        <f>IF(AND(J91&gt;'P&amp;L'!$C$23, COUNTIF($O$4:O90, "Short") &gt; COUNTIF($Q$4:Q90, "Close")), "Close", "")</f>
        <v/>
      </c>
      <c r="R91" s="6">
        <v>101070</v>
      </c>
    </row>
    <row r="92" spans="1:18" x14ac:dyDescent="0.35">
      <c r="A92" s="12">
        <v>42913</v>
      </c>
      <c r="B92" s="1">
        <v>942.46</v>
      </c>
      <c r="C92" s="1">
        <v>948.29</v>
      </c>
      <c r="D92" s="1">
        <v>926.85</v>
      </c>
      <c r="E92" s="1">
        <v>927.33</v>
      </c>
      <c r="F92" s="1">
        <v>2579930</v>
      </c>
      <c r="G92" s="6">
        <f t="shared" si="9"/>
        <v>940.26285714285734</v>
      </c>
      <c r="H92" s="6">
        <f t="shared" si="5"/>
        <v>968.04</v>
      </c>
      <c r="I92" s="6">
        <f t="shared" si="6"/>
        <v>894.79</v>
      </c>
      <c r="J92" s="6">
        <f t="shared" si="7"/>
        <v>44.423208191126385</v>
      </c>
      <c r="K92" s="6">
        <f t="shared" si="8"/>
        <v>43.72743897705346</v>
      </c>
      <c r="L92" s="4" t="str">
        <f>IF(AND(E92&gt;G92, J92&gt;'P&amp;L'!$C$23, COUNTIF($L$4:L91, "Long")=COUNTIF($N$4:N91, "Close")), "Long", "")</f>
        <v/>
      </c>
      <c r="M92" s="4" t="str">
        <f>IF(L92="Long", E92*'P&amp;L'!$C$21,"")</f>
        <v/>
      </c>
      <c r="N92" s="4" t="str">
        <f>IF(AND(J92&gt;'P&amp;L'!$C$24, COUNTIF($L$4:L91, "Long") &gt; COUNTIF($N$4:N91, "Close")), "Close", "")</f>
        <v/>
      </c>
      <c r="O92" s="5" t="str">
        <f>IF(AND(E92&lt;G92, J92&lt;'P&amp;L'!$C$24, J91&gt;'P&amp;L'!$C$24, COUNTIF($O$4:O91, "Short")=COUNTIF($Q$4:Q91, "Close")), "Short", "")</f>
        <v/>
      </c>
      <c r="P92" s="5" t="str">
        <f>IF(O92="Short", E92*'P&amp;L'!$C$21, "")</f>
        <v/>
      </c>
      <c r="Q92" s="5" t="str">
        <f>IF(AND(J92&gt;'P&amp;L'!$C$23, COUNTIF($O$4:O91, "Short") &gt; COUNTIF($Q$4:Q91, "Close")), "Close", "")</f>
        <v/>
      </c>
      <c r="R92" s="6">
        <v>101070</v>
      </c>
    </row>
    <row r="93" spans="1:18" x14ac:dyDescent="0.35">
      <c r="A93" s="12">
        <v>42912</v>
      </c>
      <c r="B93" s="1">
        <v>969.9</v>
      </c>
      <c r="C93" s="1">
        <v>973.31</v>
      </c>
      <c r="D93" s="1">
        <v>950.79</v>
      </c>
      <c r="E93" s="1">
        <v>952.27</v>
      </c>
      <c r="F93" s="1">
        <v>1598355</v>
      </c>
      <c r="G93" s="6">
        <f t="shared" si="9"/>
        <v>940.4757142857145</v>
      </c>
      <c r="H93" s="6">
        <f t="shared" si="5"/>
        <v>973.31</v>
      </c>
      <c r="I93" s="6">
        <f t="shared" si="6"/>
        <v>894.79</v>
      </c>
      <c r="J93" s="6">
        <f t="shared" si="7"/>
        <v>73.204279164544104</v>
      </c>
      <c r="K93" s="6">
        <f t="shared" si="8"/>
        <v>58.676681088737894</v>
      </c>
      <c r="L93" s="4" t="str">
        <f>IF(AND(E93&gt;G93, J93&gt;'P&amp;L'!$C$23, COUNTIF($L$4:L92, "Long")=COUNTIF($N$4:N92, "Close")), "Long", "")</f>
        <v>Long</v>
      </c>
      <c r="M93" s="4">
        <f>IF(L93="Long", E93*'P&amp;L'!$C$21,"")</f>
        <v>47613.5</v>
      </c>
      <c r="N93" s="4" t="str">
        <f>IF(AND(J93&gt;'P&amp;L'!$C$24, COUNTIF($L$4:L92, "Long") &gt; COUNTIF($N$4:N92, "Close")), "Close", "")</f>
        <v/>
      </c>
      <c r="O93" s="5" t="str">
        <f>IF(AND(E93&lt;G93, J93&lt;'P&amp;L'!$C$24, J92&gt;'P&amp;L'!$C$24, COUNTIF($O$4:O92, "Short")=COUNTIF($Q$4:Q92, "Close")), "Short", "")</f>
        <v/>
      </c>
      <c r="P93" s="5" t="str">
        <f>IF(O93="Short", E93*'P&amp;L'!$C$21, "")</f>
        <v/>
      </c>
      <c r="Q93" s="5" t="str">
        <f>IF(AND(J93&gt;'P&amp;L'!$C$23, COUNTIF($O$4:O92, "Short") &gt; COUNTIF($Q$4:Q92, "Close")), "Close", "")</f>
        <v/>
      </c>
      <c r="R93" s="6">
        <v>53456.5</v>
      </c>
    </row>
    <row r="94" spans="1:18" x14ac:dyDescent="0.35">
      <c r="A94" s="12">
        <v>42909</v>
      </c>
      <c r="B94" s="1">
        <v>956.83</v>
      </c>
      <c r="C94" s="1">
        <v>966</v>
      </c>
      <c r="D94" s="1">
        <v>954.2</v>
      </c>
      <c r="E94" s="1">
        <v>965.59</v>
      </c>
      <c r="F94" s="1">
        <v>1527856</v>
      </c>
      <c r="G94" s="6">
        <f t="shared" si="9"/>
        <v>941.18476190476213</v>
      </c>
      <c r="H94" s="6">
        <f t="shared" si="5"/>
        <v>973.31</v>
      </c>
      <c r="I94" s="6">
        <f t="shared" si="6"/>
        <v>894.79</v>
      </c>
      <c r="J94" s="6">
        <f t="shared" si="7"/>
        <v>90.168110035659808</v>
      </c>
      <c r="K94" s="6">
        <f t="shared" si="8"/>
        <v>69.265199130443435</v>
      </c>
      <c r="L94" s="4" t="str">
        <f>IF(AND(E94&gt;G94, J94&gt;'P&amp;L'!$C$23, COUNTIF($L$4:L93, "Long")=COUNTIF($N$4:N93, "Close")), "Long", "")</f>
        <v/>
      </c>
      <c r="M94" s="4" t="str">
        <f>IF(L94="Long", E94*'P&amp;L'!$C$21,"")</f>
        <v/>
      </c>
      <c r="N94" s="4" t="str">
        <f>IF(AND(J94&gt;'P&amp;L'!$C$24, COUNTIF($L$4:L93, "Long") &gt; COUNTIF($N$4:N93, "Close")), "Close", "")</f>
        <v>Close</v>
      </c>
      <c r="O94" s="5" t="str">
        <f>IF(AND(E94&lt;G94, J94&lt;'P&amp;L'!$C$24, J93&gt;'P&amp;L'!$C$24, COUNTIF($O$4:O93, "Short")=COUNTIF($Q$4:Q93, "Close")), "Short", "")</f>
        <v/>
      </c>
      <c r="P94" s="5" t="str">
        <f>IF(O94="Short", E94*'P&amp;L'!$C$21, "")</f>
        <v/>
      </c>
      <c r="Q94" s="5" t="str">
        <f>IF(AND(J94&gt;'P&amp;L'!$C$23, COUNTIF($O$4:O93, "Short") &gt; COUNTIF($Q$4:Q93, "Close")), "Close", "")</f>
        <v/>
      </c>
      <c r="R94" s="6">
        <v>101736</v>
      </c>
    </row>
    <row r="95" spans="1:18" x14ac:dyDescent="0.35">
      <c r="A95" s="12">
        <v>42908</v>
      </c>
      <c r="B95" s="1">
        <v>958.7</v>
      </c>
      <c r="C95" s="1">
        <v>960.72</v>
      </c>
      <c r="D95" s="1">
        <v>954.55</v>
      </c>
      <c r="E95" s="1">
        <v>957.09</v>
      </c>
      <c r="F95" s="1">
        <v>941958</v>
      </c>
      <c r="G95" s="6">
        <f t="shared" si="9"/>
        <v>940.07761904761912</v>
      </c>
      <c r="H95" s="6">
        <f t="shared" si="5"/>
        <v>973.31</v>
      </c>
      <c r="I95" s="6">
        <f t="shared" si="6"/>
        <v>894.79</v>
      </c>
      <c r="J95" s="6">
        <f t="shared" si="7"/>
        <v>79.342842587875808</v>
      </c>
      <c r="K95" s="6">
        <f t="shared" si="8"/>
        <v>80.90507726269324</v>
      </c>
      <c r="L95" s="4" t="str">
        <f>IF(AND(E95&gt;G95, J95&gt;'P&amp;L'!$C$23, COUNTIF($L$4:L94, "Long")=COUNTIF($N$4:N94, "Close")), "Long", "")</f>
        <v>Long</v>
      </c>
      <c r="M95" s="4">
        <f>IF(L95="Long", E95*'P&amp;L'!$C$21,"")</f>
        <v>47854.5</v>
      </c>
      <c r="N95" s="4" t="str">
        <f>IF(AND(J95&gt;'P&amp;L'!$C$24, COUNTIF($L$4:L94, "Long") &gt; COUNTIF($N$4:N94, "Close")), "Close", "")</f>
        <v/>
      </c>
      <c r="O95" s="5" t="str">
        <f>IF(AND(E95&lt;G95, J95&lt;'P&amp;L'!$C$24, J94&gt;'P&amp;L'!$C$24, COUNTIF($O$4:O94, "Short")=COUNTIF($Q$4:Q94, "Close")), "Short", "")</f>
        <v/>
      </c>
      <c r="P95" s="5" t="str">
        <f>IF(O95="Short", E95*'P&amp;L'!$C$21, "")</f>
        <v/>
      </c>
      <c r="Q95" s="5" t="str">
        <f>IF(AND(J95&gt;'P&amp;L'!$C$23, COUNTIF($O$4:O94, "Short") &gt; COUNTIF($Q$4:Q94, "Close")), "Close", "")</f>
        <v/>
      </c>
      <c r="R95" s="6">
        <v>53881.5</v>
      </c>
    </row>
    <row r="96" spans="1:18" x14ac:dyDescent="0.35">
      <c r="A96" s="12">
        <v>42907</v>
      </c>
      <c r="B96" s="1">
        <v>953.64</v>
      </c>
      <c r="C96" s="1">
        <v>960.1</v>
      </c>
      <c r="D96" s="1">
        <v>950.76</v>
      </c>
      <c r="E96" s="1">
        <v>959.45</v>
      </c>
      <c r="F96" s="1">
        <v>1202233</v>
      </c>
      <c r="G96" s="6">
        <f t="shared" si="9"/>
        <v>939.43619047619063</v>
      </c>
      <c r="H96" s="6">
        <f t="shared" si="5"/>
        <v>973.31</v>
      </c>
      <c r="I96" s="6">
        <f t="shared" si="6"/>
        <v>894.79</v>
      </c>
      <c r="J96" s="6">
        <f t="shared" si="7"/>
        <v>82.348446255731147</v>
      </c>
      <c r="K96" s="6">
        <f t="shared" si="8"/>
        <v>83.953132959755592</v>
      </c>
      <c r="L96" s="4" t="str">
        <f>IF(AND(E96&gt;G96, J96&gt;'P&amp;L'!$C$23, COUNTIF($L$4:L95, "Long")=COUNTIF($N$4:N95, "Close")), "Long", "")</f>
        <v/>
      </c>
      <c r="M96" s="4" t="str">
        <f>IF(L96="Long", E96*'P&amp;L'!$C$21,"")</f>
        <v/>
      </c>
      <c r="N96" s="4" t="str">
        <f>IF(AND(J96&gt;'P&amp;L'!$C$24, COUNTIF($L$4:L95, "Long") &gt; COUNTIF($N$4:N95, "Close")), "Close", "")</f>
        <v>Close</v>
      </c>
      <c r="O96" s="5" t="str">
        <f>IF(AND(E96&lt;G96, J96&lt;'P&amp;L'!$C$24, J95&gt;'P&amp;L'!$C$24, COUNTIF($O$4:O95, "Short")=COUNTIF($Q$4:Q95, "Close")), "Short", "")</f>
        <v/>
      </c>
      <c r="P96" s="5" t="str">
        <f>IF(O96="Short", E96*'P&amp;L'!$C$21, "")</f>
        <v/>
      </c>
      <c r="Q96" s="5" t="str">
        <f>IF(AND(J96&gt;'P&amp;L'!$C$23, COUNTIF($O$4:O95, "Short") &gt; COUNTIF($Q$4:Q95, "Close")), "Close", "")</f>
        <v/>
      </c>
      <c r="R96" s="6">
        <v>101854</v>
      </c>
    </row>
    <row r="97" spans="1:18" x14ac:dyDescent="0.35">
      <c r="A97" s="12">
        <v>42906</v>
      </c>
      <c r="B97" s="1">
        <v>957.52</v>
      </c>
      <c r="C97" s="1">
        <v>961.62</v>
      </c>
      <c r="D97" s="1">
        <v>950.01</v>
      </c>
      <c r="E97" s="1">
        <v>950.63</v>
      </c>
      <c r="F97" s="1">
        <v>1125990</v>
      </c>
      <c r="G97" s="6">
        <f t="shared" si="9"/>
        <v>938.60190476190496</v>
      </c>
      <c r="H97" s="6">
        <f t="shared" si="5"/>
        <v>973.31</v>
      </c>
      <c r="I97" s="6">
        <f t="shared" si="6"/>
        <v>894.79</v>
      </c>
      <c r="J97" s="6">
        <f t="shared" si="7"/>
        <v>71.115639327559904</v>
      </c>
      <c r="K97" s="6">
        <f t="shared" si="8"/>
        <v>77.602309390388953</v>
      </c>
      <c r="L97" s="4" t="str">
        <f>IF(AND(E97&gt;G97, J97&gt;'P&amp;L'!$C$23, COUNTIF($L$4:L96, "Long")=COUNTIF($N$4:N96, "Close")), "Long", "")</f>
        <v>Long</v>
      </c>
      <c r="M97" s="4">
        <f>IF(L97="Long", E97*'P&amp;L'!$C$21,"")</f>
        <v>47531.5</v>
      </c>
      <c r="N97" s="4" t="str">
        <f>IF(AND(J97&gt;'P&amp;L'!$C$24, COUNTIF($L$4:L96, "Long") &gt; COUNTIF($N$4:N96, "Close")), "Close", "")</f>
        <v/>
      </c>
      <c r="O97" s="5" t="str">
        <f>IF(AND(E97&lt;G97, J97&lt;'P&amp;L'!$C$24, J96&gt;'P&amp;L'!$C$24, COUNTIF($O$4:O96, "Short")=COUNTIF($Q$4:Q96, "Close")), "Short", "")</f>
        <v/>
      </c>
      <c r="P97" s="5" t="str">
        <f>IF(O97="Short", E97*'P&amp;L'!$C$21, "")</f>
        <v/>
      </c>
      <c r="Q97" s="5" t="str">
        <f>IF(AND(J97&gt;'P&amp;L'!$C$23, COUNTIF($O$4:O96, "Short") &gt; COUNTIF($Q$4:Q96, "Close")), "Close", "")</f>
        <v/>
      </c>
      <c r="R97" s="6">
        <v>54322.5</v>
      </c>
    </row>
    <row r="98" spans="1:18" x14ac:dyDescent="0.35">
      <c r="A98" s="12">
        <v>42905</v>
      </c>
      <c r="B98" s="1">
        <v>949.96</v>
      </c>
      <c r="C98" s="1">
        <v>959.99</v>
      </c>
      <c r="D98" s="1">
        <v>949.05</v>
      </c>
      <c r="E98" s="1">
        <v>957.37</v>
      </c>
      <c r="F98" s="1">
        <v>1533336</v>
      </c>
      <c r="G98" s="6">
        <f t="shared" si="9"/>
        <v>937.95809523809532</v>
      </c>
      <c r="H98" s="6">
        <f t="shared" si="5"/>
        <v>973.31</v>
      </c>
      <c r="I98" s="6">
        <f t="shared" si="6"/>
        <v>894.79</v>
      </c>
      <c r="J98" s="6">
        <f t="shared" si="7"/>
        <v>79.699439633214539</v>
      </c>
      <c r="K98" s="6">
        <f t="shared" si="8"/>
        <v>77.721175072168535</v>
      </c>
      <c r="L98" s="4" t="str">
        <f>IF(AND(E98&gt;G98, J98&gt;'P&amp;L'!$C$23, COUNTIF($L$4:L97, "Long")=COUNTIF($N$4:N97, "Close")), "Long", "")</f>
        <v/>
      </c>
      <c r="M98" s="4" t="str">
        <f>IF(L98="Long", E98*'P&amp;L'!$C$21,"")</f>
        <v/>
      </c>
      <c r="N98" s="4" t="str">
        <f>IF(AND(J98&gt;'P&amp;L'!$C$24, COUNTIF($L$4:L97, "Long") &gt; COUNTIF($N$4:N97, "Close")), "Close", "")</f>
        <v>Close</v>
      </c>
      <c r="O98" s="5" t="str">
        <f>IF(AND(E98&lt;G98, J98&lt;'P&amp;L'!$C$24, J97&gt;'P&amp;L'!$C$24, COUNTIF($O$4:O97, "Short")=COUNTIF($Q$4:Q97, "Close")), "Short", "")</f>
        <v/>
      </c>
      <c r="P98" s="5" t="str">
        <f>IF(O98="Short", E98*'P&amp;L'!$C$21, "")</f>
        <v/>
      </c>
      <c r="Q98" s="5" t="str">
        <f>IF(AND(J98&gt;'P&amp;L'!$C$23, COUNTIF($O$4:O97, "Short") &gt; COUNTIF($Q$4:Q97, "Close")), "Close", "")</f>
        <v/>
      </c>
      <c r="R98" s="6">
        <v>102191</v>
      </c>
    </row>
    <row r="99" spans="1:18" x14ac:dyDescent="0.35">
      <c r="A99" s="12">
        <v>42902</v>
      </c>
      <c r="B99" s="1">
        <v>940</v>
      </c>
      <c r="C99" s="1">
        <v>942.04</v>
      </c>
      <c r="D99" s="1">
        <v>931.6</v>
      </c>
      <c r="E99" s="1">
        <v>939.78</v>
      </c>
      <c r="F99" s="1">
        <v>3094711</v>
      </c>
      <c r="G99" s="6">
        <f t="shared" si="9"/>
        <v>936.73809523809518</v>
      </c>
      <c r="H99" s="6">
        <f t="shared" si="5"/>
        <v>973.31</v>
      </c>
      <c r="I99" s="6">
        <f t="shared" si="6"/>
        <v>894.79</v>
      </c>
      <c r="J99" s="6">
        <f t="shared" si="7"/>
        <v>57.29750382068265</v>
      </c>
      <c r="K99" s="6">
        <f t="shared" si="8"/>
        <v>69.370860927152364</v>
      </c>
      <c r="L99" s="4" t="str">
        <f>IF(AND(E99&gt;G99, J99&gt;'P&amp;L'!$C$23, COUNTIF($L$4:L98, "Long")=COUNTIF($N$4:N98, "Close")), "Long", "")</f>
        <v>Long</v>
      </c>
      <c r="M99" s="4">
        <f>IF(L99="Long", E99*'P&amp;L'!$C$21,"")</f>
        <v>46989</v>
      </c>
      <c r="N99" s="4" t="str">
        <f>IF(AND(J99&gt;'P&amp;L'!$C$24, COUNTIF($L$4:L98, "Long") &gt; COUNTIF($N$4:N98, "Close")), "Close", "")</f>
        <v/>
      </c>
      <c r="O99" s="5" t="str">
        <f>IF(AND(E99&lt;G99, J99&lt;'P&amp;L'!$C$24, J98&gt;'P&amp;L'!$C$24, COUNTIF($O$4:O98, "Short")=COUNTIF($Q$4:Q98, "Close")), "Short", "")</f>
        <v/>
      </c>
      <c r="P99" s="5" t="str">
        <f>IF(O99="Short", E99*'P&amp;L'!$C$21, "")</f>
        <v/>
      </c>
      <c r="Q99" s="5" t="str">
        <f>IF(AND(J99&gt;'P&amp;L'!$C$23, COUNTIF($O$4:O98, "Short") &gt; COUNTIF($Q$4:Q98, "Close")), "Close", "")</f>
        <v/>
      </c>
      <c r="R99" s="6">
        <v>55202</v>
      </c>
    </row>
    <row r="100" spans="1:18" x14ac:dyDescent="0.35">
      <c r="A100" s="12">
        <v>42901</v>
      </c>
      <c r="B100" s="1">
        <v>933.97</v>
      </c>
      <c r="C100" s="1">
        <v>943.34</v>
      </c>
      <c r="D100" s="1">
        <v>924.44</v>
      </c>
      <c r="E100" s="1">
        <v>942.31</v>
      </c>
      <c r="F100" s="1">
        <v>2133050</v>
      </c>
      <c r="G100" s="6">
        <f t="shared" si="9"/>
        <v>936.20904761904762</v>
      </c>
      <c r="H100" s="6">
        <f t="shared" si="5"/>
        <v>973.31</v>
      </c>
      <c r="I100" s="6">
        <f t="shared" si="6"/>
        <v>894.79</v>
      </c>
      <c r="J100" s="6">
        <f t="shared" si="7"/>
        <v>60.519612837493618</v>
      </c>
      <c r="K100" s="6">
        <f t="shared" si="8"/>
        <v>65.838852097130271</v>
      </c>
      <c r="L100" s="4" t="str">
        <f>IF(AND(E100&gt;G100, J100&gt;'P&amp;L'!$C$23, COUNTIF($L$4:L99, "Long")=COUNTIF($N$4:N99, "Close")), "Long", "")</f>
        <v/>
      </c>
      <c r="M100" s="4" t="str">
        <f>IF(L100="Long", E100*'P&amp;L'!$C$21,"")</f>
        <v/>
      </c>
      <c r="N100" s="4" t="str">
        <f>IF(AND(J100&gt;'P&amp;L'!$C$24, COUNTIF($L$4:L99, "Long") &gt; COUNTIF($N$4:N99, "Close")), "Close", "")</f>
        <v>Close</v>
      </c>
      <c r="O100" s="5" t="str">
        <f>IF(AND(E100&lt;G100, J100&lt;'P&amp;L'!$C$24, J99&gt;'P&amp;L'!$C$24, COUNTIF($O$4:O99, "Short")=COUNTIF($Q$4:Q99, "Close")), "Short", "")</f>
        <v/>
      </c>
      <c r="P100" s="5" t="str">
        <f>IF(O100="Short", E100*'P&amp;L'!$C$21, "")</f>
        <v/>
      </c>
      <c r="Q100" s="5" t="str">
        <f>IF(AND(J100&gt;'P&amp;L'!$C$23, COUNTIF($O$4:O99, "Short") &gt; COUNTIF($Q$4:Q99, "Close")), "Close", "")</f>
        <v/>
      </c>
      <c r="R100" s="6">
        <v>102317.5</v>
      </c>
    </row>
    <row r="101" spans="1:18" x14ac:dyDescent="0.35">
      <c r="A101" s="12">
        <v>42900</v>
      </c>
      <c r="B101" s="1">
        <v>959.92</v>
      </c>
      <c r="C101" s="1">
        <v>961.15</v>
      </c>
      <c r="D101" s="1">
        <v>942.25</v>
      </c>
      <c r="E101" s="1">
        <v>950.76</v>
      </c>
      <c r="F101" s="1">
        <v>1489715</v>
      </c>
      <c r="G101" s="6">
        <f t="shared" si="9"/>
        <v>935.96</v>
      </c>
      <c r="H101" s="6">
        <f t="shared" si="5"/>
        <v>973.31</v>
      </c>
      <c r="I101" s="6">
        <f t="shared" si="6"/>
        <v>894.79</v>
      </c>
      <c r="J101" s="6">
        <f t="shared" si="7"/>
        <v>71.281202241467184</v>
      </c>
      <c r="K101" s="6">
        <f t="shared" si="8"/>
        <v>63.032772966547817</v>
      </c>
      <c r="L101" s="4" t="str">
        <f>IF(AND(E101&gt;G101, J101&gt;'P&amp;L'!$C$23, COUNTIF($L$4:L100, "Long")=COUNTIF($N$4:N100, "Close")), "Long", "")</f>
        <v>Long</v>
      </c>
      <c r="M101" s="4">
        <f>IF(L101="Long", E101*'P&amp;L'!$C$21,"")</f>
        <v>47538</v>
      </c>
      <c r="N101" s="4" t="str">
        <f>IF(AND(J101&gt;'P&amp;L'!$C$24, COUNTIF($L$4:L100, "Long") &gt; COUNTIF($N$4:N100, "Close")), "Close", "")</f>
        <v/>
      </c>
      <c r="O101" s="5" t="str">
        <f>IF(AND(E101&lt;G101, J101&lt;'P&amp;L'!$C$24, J100&gt;'P&amp;L'!$C$24, COUNTIF($O$4:O100, "Short")=COUNTIF($Q$4:Q100, "Close")), "Short", "")</f>
        <v/>
      </c>
      <c r="P101" s="5" t="str">
        <f>IF(O101="Short", E101*'P&amp;L'!$C$21, "")</f>
        <v/>
      </c>
      <c r="Q101" s="5" t="str">
        <f>IF(AND(J101&gt;'P&amp;L'!$C$23, COUNTIF($O$4:O100, "Short") &gt; COUNTIF($Q$4:Q100, "Close")), "Close", "")</f>
        <v/>
      </c>
      <c r="R101" s="6">
        <v>54779.5</v>
      </c>
    </row>
    <row r="102" spans="1:18" x14ac:dyDescent="0.35">
      <c r="A102" s="12">
        <v>42899</v>
      </c>
      <c r="B102" s="1">
        <v>951.91</v>
      </c>
      <c r="C102" s="1">
        <v>959.98</v>
      </c>
      <c r="D102" s="1">
        <v>944.09</v>
      </c>
      <c r="E102" s="1">
        <v>953.4</v>
      </c>
      <c r="F102" s="1">
        <v>2013337</v>
      </c>
      <c r="G102" s="6">
        <f t="shared" si="9"/>
        <v>936.25714285714298</v>
      </c>
      <c r="H102" s="6">
        <f t="shared" si="5"/>
        <v>973.31</v>
      </c>
      <c r="I102" s="6">
        <f t="shared" si="6"/>
        <v>894.79</v>
      </c>
      <c r="J102" s="6">
        <f t="shared" si="7"/>
        <v>74.643402954661269</v>
      </c>
      <c r="K102" s="6">
        <f t="shared" si="8"/>
        <v>68.814739344540683</v>
      </c>
      <c r="L102" s="4" t="str">
        <f>IF(AND(E102&gt;G102, J102&gt;'P&amp;L'!$C$23, COUNTIF($L$4:L101, "Long")=COUNTIF($N$4:N101, "Close")), "Long", "")</f>
        <v/>
      </c>
      <c r="M102" s="4" t="str">
        <f>IF(L102="Long", E102*'P&amp;L'!$C$21,"")</f>
        <v/>
      </c>
      <c r="N102" s="4" t="str">
        <f>IF(AND(J102&gt;'P&amp;L'!$C$24, COUNTIF($L$4:L101, "Long") &gt; COUNTIF($N$4:N101, "Close")), "Close", "")</f>
        <v>Close</v>
      </c>
      <c r="O102" s="5" t="str">
        <f>IF(AND(E102&lt;G102, J102&lt;'P&amp;L'!$C$24, J101&gt;'P&amp;L'!$C$24, COUNTIF($O$4:O101, "Short")=COUNTIF($Q$4:Q101, "Close")), "Short", "")</f>
        <v/>
      </c>
      <c r="P102" s="5" t="str">
        <f>IF(O102="Short", E102*'P&amp;L'!$C$21, "")</f>
        <v/>
      </c>
      <c r="Q102" s="5" t="str">
        <f>IF(AND(J102&gt;'P&amp;L'!$C$23, COUNTIF($O$4:O101, "Short") &gt; COUNTIF($Q$4:Q101, "Close")), "Close", "")</f>
        <v/>
      </c>
      <c r="R102" s="6">
        <v>102449.5</v>
      </c>
    </row>
    <row r="103" spans="1:18" x14ac:dyDescent="0.35">
      <c r="A103" s="12">
        <v>42898</v>
      </c>
      <c r="B103" s="1">
        <v>939.56</v>
      </c>
      <c r="C103" s="1">
        <v>949.36</v>
      </c>
      <c r="D103" s="1">
        <v>915.23</v>
      </c>
      <c r="E103" s="1">
        <v>942.9</v>
      </c>
      <c r="F103" s="1">
        <v>3763529</v>
      </c>
      <c r="G103" s="6">
        <f t="shared" si="9"/>
        <v>936.21285714285739</v>
      </c>
      <c r="H103" s="6">
        <f t="shared" si="5"/>
        <v>973.31</v>
      </c>
      <c r="I103" s="6">
        <f t="shared" si="6"/>
        <v>908.31</v>
      </c>
      <c r="J103" s="6">
        <f t="shared" si="7"/>
        <v>53.215384615384664</v>
      </c>
      <c r="K103" s="6">
        <f t="shared" si="8"/>
        <v>66.379996603837711</v>
      </c>
      <c r="L103" s="4" t="str">
        <f>IF(AND(E103&gt;G103, J103&gt;'P&amp;L'!$C$23, COUNTIF($L$4:L102, "Long")=COUNTIF($N$4:N102, "Close")), "Long", "")</f>
        <v>Long</v>
      </c>
      <c r="M103" s="4">
        <f>IF(L103="Long", E103*'P&amp;L'!$C$21,"")</f>
        <v>47145</v>
      </c>
      <c r="N103" s="4" t="str">
        <f>IF(AND(J103&gt;'P&amp;L'!$C$24, COUNTIF($L$4:L102, "Long") &gt; COUNTIF($N$4:N102, "Close")), "Close", "")</f>
        <v/>
      </c>
      <c r="O103" s="5" t="str">
        <f>IF(AND(E103&lt;G103, J103&lt;'P&amp;L'!$C$24, J102&gt;'P&amp;L'!$C$24, COUNTIF($O$4:O102, "Short")=COUNTIF($Q$4:Q102, "Close")), "Short", "")</f>
        <v/>
      </c>
      <c r="P103" s="5" t="str">
        <f>IF(O103="Short", E103*'P&amp;L'!$C$21, "")</f>
        <v/>
      </c>
      <c r="Q103" s="5" t="str">
        <f>IF(AND(J103&gt;'P&amp;L'!$C$23, COUNTIF($O$4:O102, "Short") &gt; COUNTIF($Q$4:Q102, "Close")), "Close", "")</f>
        <v/>
      </c>
      <c r="R103" s="6">
        <v>55304.5</v>
      </c>
    </row>
    <row r="104" spans="1:18" x14ac:dyDescent="0.35">
      <c r="A104" s="12">
        <v>42895</v>
      </c>
      <c r="B104" s="1">
        <v>984.5</v>
      </c>
      <c r="C104" s="1">
        <v>984.5</v>
      </c>
      <c r="D104" s="1">
        <v>935.63</v>
      </c>
      <c r="E104" s="1">
        <v>949.83</v>
      </c>
      <c r="F104" s="1">
        <v>3309389</v>
      </c>
      <c r="G104" s="6">
        <f t="shared" si="9"/>
        <v>937.15285714285744</v>
      </c>
      <c r="H104" s="6">
        <f t="shared" si="5"/>
        <v>984.5</v>
      </c>
      <c r="I104" s="6">
        <f t="shared" si="6"/>
        <v>910.62</v>
      </c>
      <c r="J104" s="6">
        <f t="shared" si="7"/>
        <v>53.072550081212832</v>
      </c>
      <c r="K104" s="6">
        <f t="shared" si="8"/>
        <v>60.310445883752919</v>
      </c>
      <c r="L104" s="4" t="str">
        <f>IF(AND(E104&gt;G104, J104&gt;'P&amp;L'!$C$23, COUNTIF($L$4:L103, "Long")=COUNTIF($N$4:N103, "Close")), "Long", "")</f>
        <v/>
      </c>
      <c r="M104" s="4" t="str">
        <f>IF(L104="Long", E104*'P&amp;L'!$C$21,"")</f>
        <v/>
      </c>
      <c r="N104" s="4" t="str">
        <f>IF(AND(J104&gt;'P&amp;L'!$C$24, COUNTIF($L$4:L103, "Long") &gt; COUNTIF($N$4:N103, "Close")), "Close", "")</f>
        <v>Close</v>
      </c>
      <c r="O104" s="5" t="str">
        <f>IF(AND(E104&lt;G104, J104&lt;'P&amp;L'!$C$24, J103&gt;'P&amp;L'!$C$24, COUNTIF($O$4:O103, "Short")=COUNTIF($Q$4:Q103, "Close")), "Short", "")</f>
        <v/>
      </c>
      <c r="P104" s="5" t="str">
        <f>IF(O104="Short", E104*'P&amp;L'!$C$21, "")</f>
        <v/>
      </c>
      <c r="Q104" s="5" t="str">
        <f>IF(AND(J104&gt;'P&amp;L'!$C$23, COUNTIF($O$4:O103, "Short") &gt; COUNTIF($Q$4:Q103, "Close")), "Close", "")</f>
        <v/>
      </c>
      <c r="R104" s="6">
        <v>102796</v>
      </c>
    </row>
    <row r="105" spans="1:18" x14ac:dyDescent="0.35">
      <c r="A105" s="12">
        <v>42894</v>
      </c>
      <c r="B105" s="1">
        <v>982.35</v>
      </c>
      <c r="C105" s="1">
        <v>984.57</v>
      </c>
      <c r="D105" s="1">
        <v>977.2</v>
      </c>
      <c r="E105" s="1">
        <v>983.41</v>
      </c>
      <c r="F105" s="1">
        <v>1481916</v>
      </c>
      <c r="G105" s="6">
        <f t="shared" si="9"/>
        <v>939.75333333333344</v>
      </c>
      <c r="H105" s="6">
        <f t="shared" si="5"/>
        <v>984.57</v>
      </c>
      <c r="I105" s="6">
        <f t="shared" si="6"/>
        <v>915.23</v>
      </c>
      <c r="J105" s="6">
        <f t="shared" si="7"/>
        <v>98.327083934236981</v>
      </c>
      <c r="K105" s="6">
        <f t="shared" si="8"/>
        <v>68.205006210278157</v>
      </c>
      <c r="L105" s="4" t="str">
        <f>IF(AND(E105&gt;G105, J105&gt;'P&amp;L'!$C$23, COUNTIF($L$4:L104, "Long")=COUNTIF($N$4:N104, "Close")), "Long", "")</f>
        <v>Long</v>
      </c>
      <c r="M105" s="4">
        <f>IF(L105="Long", E105*'P&amp;L'!$C$21,"")</f>
        <v>49170.5</v>
      </c>
      <c r="N105" s="4" t="str">
        <f>IF(AND(J105&gt;'P&amp;L'!$C$24, COUNTIF($L$4:L104, "Long") &gt; COUNTIF($N$4:N104, "Close")), "Close", "")</f>
        <v/>
      </c>
      <c r="O105" s="5" t="str">
        <f>IF(AND(E105&lt;G105, J105&lt;'P&amp;L'!$C$24, J104&gt;'P&amp;L'!$C$24, COUNTIF($O$4:O104, "Short")=COUNTIF($Q$4:Q104, "Close")), "Short", "")</f>
        <v/>
      </c>
      <c r="P105" s="5" t="str">
        <f>IF(O105="Short", E105*'P&amp;L'!$C$21, "")</f>
        <v/>
      </c>
      <c r="Q105" s="5" t="str">
        <f>IF(AND(J105&gt;'P&amp;L'!$C$23, COUNTIF($O$4:O104, "Short") &gt; COUNTIF($Q$4:Q104, "Close")), "Close", "")</f>
        <v/>
      </c>
      <c r="R105" s="6">
        <v>53625.5</v>
      </c>
    </row>
    <row r="106" spans="1:18" x14ac:dyDescent="0.35">
      <c r="A106" s="12">
        <v>42893</v>
      </c>
      <c r="B106" s="1">
        <v>979.65</v>
      </c>
      <c r="C106" s="1">
        <v>984.15</v>
      </c>
      <c r="D106" s="1">
        <v>975.77</v>
      </c>
      <c r="E106" s="1">
        <v>981.08</v>
      </c>
      <c r="F106" s="1">
        <v>1453874</v>
      </c>
      <c r="G106" s="6">
        <f t="shared" si="9"/>
        <v>942.72904761904783</v>
      </c>
      <c r="H106" s="6">
        <f t="shared" si="5"/>
        <v>984.57</v>
      </c>
      <c r="I106" s="6">
        <f t="shared" si="6"/>
        <v>915.23</v>
      </c>
      <c r="J106" s="6">
        <f t="shared" si="7"/>
        <v>94.966830112489177</v>
      </c>
      <c r="K106" s="6">
        <f t="shared" si="8"/>
        <v>82.122154709312994</v>
      </c>
      <c r="L106" s="4" t="str">
        <f>IF(AND(E106&gt;G106, J106&gt;'P&amp;L'!$C$23, COUNTIF($L$4:L105, "Long")=COUNTIF($N$4:N105, "Close")), "Long", "")</f>
        <v/>
      </c>
      <c r="M106" s="4" t="str">
        <f>IF(L106="Long", E106*'P&amp;L'!$C$21,"")</f>
        <v/>
      </c>
      <c r="N106" s="4" t="str">
        <f>IF(AND(J106&gt;'P&amp;L'!$C$24, COUNTIF($L$4:L105, "Long") &gt; COUNTIF($N$4:N105, "Close")), "Close", "")</f>
        <v>Close</v>
      </c>
      <c r="O106" s="5" t="str">
        <f>IF(AND(E106&lt;G106, J106&lt;'P&amp;L'!$C$24, J105&gt;'P&amp;L'!$C$24, COUNTIF($O$4:O105, "Short")=COUNTIF($Q$4:Q105, "Close")), "Short", "")</f>
        <v/>
      </c>
      <c r="P106" s="5" t="str">
        <f>IF(O106="Short", E106*'P&amp;L'!$C$21, "")</f>
        <v/>
      </c>
      <c r="Q106" s="5" t="str">
        <f>IF(AND(J106&gt;'P&amp;L'!$C$23, COUNTIF($O$4:O105, "Short") &gt; COUNTIF($Q$4:Q105, "Close")), "Close", "")</f>
        <v/>
      </c>
      <c r="R106" s="6">
        <v>102679.5</v>
      </c>
    </row>
    <row r="107" spans="1:18" x14ac:dyDescent="0.35">
      <c r="A107" s="12">
        <v>42892</v>
      </c>
      <c r="B107" s="1">
        <v>983.16</v>
      </c>
      <c r="C107" s="1">
        <v>988.25</v>
      </c>
      <c r="D107" s="1">
        <v>975.14</v>
      </c>
      <c r="E107" s="1">
        <v>976.57</v>
      </c>
      <c r="F107" s="1">
        <v>1814624</v>
      </c>
      <c r="G107" s="6">
        <f t="shared" si="9"/>
        <v>946.05666666666673</v>
      </c>
      <c r="H107" s="6">
        <f t="shared" si="5"/>
        <v>988.25</v>
      </c>
      <c r="I107" s="6">
        <f t="shared" si="6"/>
        <v>915.23</v>
      </c>
      <c r="J107" s="6">
        <f t="shared" si="7"/>
        <v>84.004382360997056</v>
      </c>
      <c r="K107" s="6">
        <f t="shared" si="8"/>
        <v>92.432765469241076</v>
      </c>
      <c r="L107" s="4" t="str">
        <f>IF(AND(E107&gt;G107, J107&gt;'P&amp;L'!$C$23, COUNTIF($L$4:L106, "Long")=COUNTIF($N$4:N106, "Close")), "Long", "")</f>
        <v>Long</v>
      </c>
      <c r="M107" s="4">
        <f>IF(L107="Long", E107*'P&amp;L'!$C$21,"")</f>
        <v>48828.5</v>
      </c>
      <c r="N107" s="4" t="str">
        <f>IF(AND(J107&gt;'P&amp;L'!$C$24, COUNTIF($L$4:L106, "Long") &gt; COUNTIF($N$4:N106, "Close")), "Close", "")</f>
        <v/>
      </c>
      <c r="O107" s="5" t="str">
        <f>IF(AND(E107&lt;G107, J107&lt;'P&amp;L'!$C$24, J106&gt;'P&amp;L'!$C$24, COUNTIF($O$4:O106, "Short")=COUNTIF($Q$4:Q106, "Close")), "Short", "")</f>
        <v/>
      </c>
      <c r="P107" s="5" t="str">
        <f>IF(O107="Short", E107*'P&amp;L'!$C$21, "")</f>
        <v/>
      </c>
      <c r="Q107" s="5" t="str">
        <f>IF(AND(J107&gt;'P&amp;L'!$C$23, COUNTIF($O$4:O106, "Short") &gt; COUNTIF($Q$4:Q106, "Close")), "Close", "")</f>
        <v/>
      </c>
      <c r="R107" s="6">
        <v>53851</v>
      </c>
    </row>
    <row r="108" spans="1:18" x14ac:dyDescent="0.35">
      <c r="A108" s="12">
        <v>42891</v>
      </c>
      <c r="B108" s="1">
        <v>976.55</v>
      </c>
      <c r="C108" s="1">
        <v>986.91</v>
      </c>
      <c r="D108" s="1">
        <v>975.1</v>
      </c>
      <c r="E108" s="1">
        <v>983.68</v>
      </c>
      <c r="F108" s="1">
        <v>1252106</v>
      </c>
      <c r="G108" s="6">
        <f t="shared" si="9"/>
        <v>949.48380952380967</v>
      </c>
      <c r="H108" s="6">
        <f t="shared" si="5"/>
        <v>988.25</v>
      </c>
      <c r="I108" s="6">
        <f t="shared" si="6"/>
        <v>915.23</v>
      </c>
      <c r="J108" s="6">
        <f t="shared" si="7"/>
        <v>93.741440701177694</v>
      </c>
      <c r="K108" s="6">
        <f t="shared" si="8"/>
        <v>90.904217724887971</v>
      </c>
      <c r="L108" s="4" t="str">
        <f>IF(AND(E108&gt;G108, J108&gt;'P&amp;L'!$C$23, COUNTIF($L$4:L107, "Long")=COUNTIF($N$4:N107, "Close")), "Long", "")</f>
        <v/>
      </c>
      <c r="M108" s="4" t="str">
        <f>IF(L108="Long", E108*'P&amp;L'!$C$21,"")</f>
        <v/>
      </c>
      <c r="N108" s="4" t="str">
        <f>IF(AND(J108&gt;'P&amp;L'!$C$24, COUNTIF($L$4:L107, "Long") &gt; COUNTIF($N$4:N107, "Close")), "Close", "")</f>
        <v>Close</v>
      </c>
      <c r="O108" s="5" t="str">
        <f>IF(AND(E108&lt;G108, J108&lt;'P&amp;L'!$C$24, J107&gt;'P&amp;L'!$C$24, COUNTIF($O$4:O107, "Short")=COUNTIF($Q$4:Q107, "Close")), "Short", "")</f>
        <v/>
      </c>
      <c r="P108" s="5" t="str">
        <f>IF(O108="Short", E108*'P&amp;L'!$C$21, "")</f>
        <v/>
      </c>
      <c r="Q108" s="5" t="str">
        <f>IF(AND(J108&gt;'P&amp;L'!$C$23, COUNTIF($O$4:O107, "Short") &gt; COUNTIF($Q$4:Q107, "Close")), "Close", "")</f>
        <v/>
      </c>
      <c r="R108" s="6">
        <v>103035</v>
      </c>
    </row>
    <row r="109" spans="1:18" x14ac:dyDescent="0.35">
      <c r="A109" s="12">
        <v>42888</v>
      </c>
      <c r="B109" s="1">
        <v>969.46</v>
      </c>
      <c r="C109" s="1">
        <v>975.88</v>
      </c>
      <c r="D109" s="1">
        <v>966</v>
      </c>
      <c r="E109" s="1">
        <v>975.6</v>
      </c>
      <c r="F109" s="1">
        <v>1750955</v>
      </c>
      <c r="G109" s="6">
        <f t="shared" si="9"/>
        <v>953.14571428571435</v>
      </c>
      <c r="H109" s="6">
        <f t="shared" si="5"/>
        <v>988.25</v>
      </c>
      <c r="I109" s="6">
        <f t="shared" si="6"/>
        <v>915.23</v>
      </c>
      <c r="J109" s="6">
        <f t="shared" si="7"/>
        <v>82.675979183785287</v>
      </c>
      <c r="K109" s="6">
        <f t="shared" si="8"/>
        <v>86.807267415319998</v>
      </c>
      <c r="L109" s="4" t="str">
        <f>IF(AND(E109&gt;G109, J109&gt;'P&amp;L'!$C$23, COUNTIF($L$4:L108, "Long")=COUNTIF($N$4:N108, "Close")), "Long", "")</f>
        <v>Long</v>
      </c>
      <c r="M109" s="4">
        <f>IF(L109="Long", E109*'P&amp;L'!$C$21,"")</f>
        <v>48780</v>
      </c>
      <c r="N109" s="4" t="str">
        <f>IF(AND(J109&gt;'P&amp;L'!$C$24, COUNTIF($L$4:L108, "Long") &gt; COUNTIF($N$4:N108, "Close")), "Close", "")</f>
        <v/>
      </c>
      <c r="O109" s="5" t="str">
        <f>IF(AND(E109&lt;G109, J109&lt;'P&amp;L'!$C$24, J108&gt;'P&amp;L'!$C$24, COUNTIF($O$4:O108, "Short")=COUNTIF($Q$4:Q108, "Close")), "Short", "")</f>
        <v/>
      </c>
      <c r="P109" s="5" t="str">
        <f>IF(O109="Short", E109*'P&amp;L'!$C$21, "")</f>
        <v/>
      </c>
      <c r="Q109" s="5" t="str">
        <f>IF(AND(J109&gt;'P&amp;L'!$C$23, COUNTIF($O$4:O108, "Short") &gt; COUNTIF($Q$4:Q108, "Close")), "Close", "")</f>
        <v/>
      </c>
      <c r="R109" s="6">
        <v>54255</v>
      </c>
    </row>
    <row r="110" spans="1:18" x14ac:dyDescent="0.35">
      <c r="A110" s="12">
        <v>42887</v>
      </c>
      <c r="B110" s="1">
        <v>968.95</v>
      </c>
      <c r="C110" s="1">
        <v>971.5</v>
      </c>
      <c r="D110" s="1">
        <v>960.01</v>
      </c>
      <c r="E110" s="1">
        <v>966.95</v>
      </c>
      <c r="F110" s="1">
        <v>1410458</v>
      </c>
      <c r="G110" s="6">
        <f t="shared" si="9"/>
        <v>955.91809523809513</v>
      </c>
      <c r="H110" s="6">
        <f t="shared" si="5"/>
        <v>988.25</v>
      </c>
      <c r="I110" s="6">
        <f t="shared" si="6"/>
        <v>915.23</v>
      </c>
      <c r="J110" s="6">
        <f t="shared" si="7"/>
        <v>70.829909613804489</v>
      </c>
      <c r="K110" s="6">
        <f t="shared" si="8"/>
        <v>82.415776499589157</v>
      </c>
      <c r="L110" s="4" t="str">
        <f>IF(AND(E110&gt;G110, J110&gt;'P&amp;L'!$C$23, COUNTIF($L$4:L109, "Long")=COUNTIF($N$4:N109, "Close")), "Long", "")</f>
        <v/>
      </c>
      <c r="M110" s="4" t="str">
        <f>IF(L110="Long", E110*'P&amp;L'!$C$21,"")</f>
        <v/>
      </c>
      <c r="N110" s="4" t="str">
        <f>IF(AND(J110&gt;'P&amp;L'!$C$24, COUNTIF($L$4:L109, "Long") &gt; COUNTIF($N$4:N109, "Close")), "Close", "")</f>
        <v>Close</v>
      </c>
      <c r="O110" s="5" t="str">
        <f>IF(AND(E110&lt;G110, J110&lt;'P&amp;L'!$C$24, J109&gt;'P&amp;L'!$C$24, COUNTIF($O$4:O109, "Short")=COUNTIF($Q$4:Q109, "Close")), "Short", "")</f>
        <v/>
      </c>
      <c r="P110" s="5" t="str">
        <f>IF(O110="Short", E110*'P&amp;L'!$C$21, "")</f>
        <v/>
      </c>
      <c r="Q110" s="5" t="str">
        <f>IF(AND(J110&gt;'P&amp;L'!$C$23, COUNTIF($O$4:O109, "Short") &gt; COUNTIF($Q$4:Q109, "Close")), "Close", "")</f>
        <v/>
      </c>
      <c r="R110" s="6">
        <v>102602.5</v>
      </c>
    </row>
    <row r="111" spans="1:18" x14ac:dyDescent="0.35">
      <c r="A111" s="12">
        <v>42886</v>
      </c>
      <c r="B111" s="1">
        <v>975.02</v>
      </c>
      <c r="C111" s="1">
        <v>979.27</v>
      </c>
      <c r="D111" s="1">
        <v>960.18</v>
      </c>
      <c r="E111" s="1">
        <v>964.86</v>
      </c>
      <c r="F111" s="1">
        <v>2448067</v>
      </c>
      <c r="G111" s="6">
        <f t="shared" si="9"/>
        <v>958.15952380952376</v>
      </c>
      <c r="H111" s="6">
        <f t="shared" si="5"/>
        <v>988.25</v>
      </c>
      <c r="I111" s="6">
        <f t="shared" si="6"/>
        <v>915.23</v>
      </c>
      <c r="J111" s="6">
        <f t="shared" si="7"/>
        <v>67.967680087647224</v>
      </c>
      <c r="K111" s="6">
        <f t="shared" si="8"/>
        <v>73.824522961745672</v>
      </c>
      <c r="L111" s="4" t="str">
        <f>IF(AND(E111&gt;G111, J111&gt;'P&amp;L'!$C$23, COUNTIF($L$4:L110, "Long")=COUNTIF($N$4:N110, "Close")), "Long", "")</f>
        <v>Long</v>
      </c>
      <c r="M111" s="4">
        <f>IF(L111="Long", E111*'P&amp;L'!$C$21,"")</f>
        <v>48243</v>
      </c>
      <c r="N111" s="4" t="str">
        <f>IF(AND(J111&gt;'P&amp;L'!$C$24, COUNTIF($L$4:L110, "Long") &gt; COUNTIF($N$4:N110, "Close")), "Close", "")</f>
        <v/>
      </c>
      <c r="O111" s="5" t="str">
        <f>IF(AND(E111&lt;G111, J111&lt;'P&amp;L'!$C$24, J110&gt;'P&amp;L'!$C$24, COUNTIF($O$4:O110, "Short")=COUNTIF($Q$4:Q110, "Close")), "Short", "")</f>
        <v/>
      </c>
      <c r="P111" s="5" t="str">
        <f>IF(O111="Short", E111*'P&amp;L'!$C$21, "")</f>
        <v/>
      </c>
      <c r="Q111" s="5" t="str">
        <f>IF(AND(J111&gt;'P&amp;L'!$C$23, COUNTIF($O$4:O110, "Short") &gt; COUNTIF($Q$4:Q110, "Close")), "Close", "")</f>
        <v/>
      </c>
      <c r="R111" s="6">
        <v>54359.5</v>
      </c>
    </row>
    <row r="112" spans="1:18" x14ac:dyDescent="0.35">
      <c r="A112" s="12">
        <v>42885</v>
      </c>
      <c r="B112" s="1">
        <v>970.31</v>
      </c>
      <c r="C112" s="1">
        <v>976.2</v>
      </c>
      <c r="D112" s="1">
        <v>969.49</v>
      </c>
      <c r="E112" s="1">
        <v>975.88</v>
      </c>
      <c r="F112" s="1">
        <v>1466654</v>
      </c>
      <c r="G112" s="6">
        <f t="shared" si="9"/>
        <v>959.84476190476198</v>
      </c>
      <c r="H112" s="6">
        <f t="shared" si="5"/>
        <v>988.25</v>
      </c>
      <c r="I112" s="6">
        <f t="shared" si="6"/>
        <v>915.23</v>
      </c>
      <c r="J112" s="6">
        <f t="shared" si="7"/>
        <v>83.059435771021626</v>
      </c>
      <c r="K112" s="6">
        <f t="shared" si="8"/>
        <v>73.952341824157784</v>
      </c>
      <c r="L112" s="4" t="str">
        <f>IF(AND(E112&gt;G112, J112&gt;'P&amp;L'!$C$23, COUNTIF($L$4:L111, "Long")=COUNTIF($N$4:N111, "Close")), "Long", "")</f>
        <v/>
      </c>
      <c r="M112" s="4" t="str">
        <f>IF(L112="Long", E112*'P&amp;L'!$C$21,"")</f>
        <v/>
      </c>
      <c r="N112" s="4" t="str">
        <f>IF(AND(J112&gt;'P&amp;L'!$C$24, COUNTIF($L$4:L111, "Long") &gt; COUNTIF($N$4:N111, "Close")), "Close", "")</f>
        <v>Close</v>
      </c>
      <c r="O112" s="5" t="str">
        <f>IF(AND(E112&lt;G112, J112&lt;'P&amp;L'!$C$24, J111&gt;'P&amp;L'!$C$24, COUNTIF($O$4:O111, "Short")=COUNTIF($Q$4:Q111, "Close")), "Short", "")</f>
        <v/>
      </c>
      <c r="P112" s="5" t="str">
        <f>IF(O112="Short", E112*'P&amp;L'!$C$21, "")</f>
        <v/>
      </c>
      <c r="Q112" s="5" t="str">
        <f>IF(AND(J112&gt;'P&amp;L'!$C$23, COUNTIF($O$4:O111, "Short") &gt; COUNTIF($Q$4:Q111, "Close")), "Close", "")</f>
        <v/>
      </c>
      <c r="R112" s="6">
        <v>103153.5</v>
      </c>
    </row>
    <row r="113" spans="1:18" x14ac:dyDescent="0.35">
      <c r="A113" s="12">
        <v>42881</v>
      </c>
      <c r="B113" s="1">
        <v>969.7</v>
      </c>
      <c r="C113" s="1">
        <v>974.98</v>
      </c>
      <c r="D113" s="1">
        <v>965.03</v>
      </c>
      <c r="E113" s="1">
        <v>971.47</v>
      </c>
      <c r="F113" s="1">
        <v>1252010</v>
      </c>
      <c r="G113" s="6">
        <f t="shared" si="9"/>
        <v>961.94666666666672</v>
      </c>
      <c r="H113" s="6">
        <f t="shared" si="5"/>
        <v>988.25</v>
      </c>
      <c r="I113" s="6">
        <f t="shared" si="6"/>
        <v>915.23</v>
      </c>
      <c r="J113" s="6">
        <f t="shared" si="7"/>
        <v>77.01999452204879</v>
      </c>
      <c r="K113" s="6">
        <f t="shared" si="8"/>
        <v>76.015703460239209</v>
      </c>
      <c r="L113" s="4" t="str">
        <f>IF(AND(E113&gt;G113, J113&gt;'P&amp;L'!$C$23, COUNTIF($L$4:L112, "Long")=COUNTIF($N$4:N112, "Close")), "Long", "")</f>
        <v>Long</v>
      </c>
      <c r="M113" s="4">
        <f>IF(L113="Long", E113*'P&amp;L'!$C$21,"")</f>
        <v>48573.5</v>
      </c>
      <c r="N113" s="4" t="str">
        <f>IF(AND(J113&gt;'P&amp;L'!$C$24, COUNTIF($L$4:L112, "Long") &gt; COUNTIF($N$4:N112, "Close")), "Close", "")</f>
        <v/>
      </c>
      <c r="O113" s="5" t="str">
        <f>IF(AND(E113&lt;G113, J113&lt;'P&amp;L'!$C$24, J112&gt;'P&amp;L'!$C$24, COUNTIF($O$4:O112, "Short")=COUNTIF($Q$4:Q112, "Close")), "Short", "")</f>
        <v/>
      </c>
      <c r="P113" s="5" t="str">
        <f>IF(O113="Short", E113*'P&amp;L'!$C$21, "")</f>
        <v/>
      </c>
      <c r="Q113" s="5" t="str">
        <f>IF(AND(J113&gt;'P&amp;L'!$C$23, COUNTIF($O$4:O112, "Short") &gt; COUNTIF($Q$4:Q112, "Close")), "Close", "")</f>
        <v/>
      </c>
      <c r="R113" s="6">
        <v>54580</v>
      </c>
    </row>
    <row r="114" spans="1:18" x14ac:dyDescent="0.35">
      <c r="A114" s="12">
        <v>42880</v>
      </c>
      <c r="B114" s="1">
        <v>957.33</v>
      </c>
      <c r="C114" s="1">
        <v>972.63</v>
      </c>
      <c r="D114" s="1">
        <v>955.47</v>
      </c>
      <c r="E114" s="1">
        <v>969.54</v>
      </c>
      <c r="F114" s="1">
        <v>1660474</v>
      </c>
      <c r="G114" s="6">
        <f t="shared" si="9"/>
        <v>962.76904761904768</v>
      </c>
      <c r="H114" s="6">
        <f t="shared" si="5"/>
        <v>988.25</v>
      </c>
      <c r="I114" s="6">
        <f t="shared" si="6"/>
        <v>915.23</v>
      </c>
      <c r="J114" s="6">
        <f t="shared" si="7"/>
        <v>74.37688304574084</v>
      </c>
      <c r="K114" s="6">
        <f t="shared" si="8"/>
        <v>78.152104446270414</v>
      </c>
      <c r="L114" s="4" t="str">
        <f>IF(AND(E114&gt;G114, J114&gt;'P&amp;L'!$C$23, COUNTIF($L$4:L113, "Long")=COUNTIF($N$4:N113, "Close")), "Long", "")</f>
        <v/>
      </c>
      <c r="M114" s="4" t="str">
        <f>IF(L114="Long", E114*'P&amp;L'!$C$21,"")</f>
        <v/>
      </c>
      <c r="N114" s="4" t="str">
        <f>IF(AND(J114&gt;'P&amp;L'!$C$24, COUNTIF($L$4:L113, "Long") &gt; COUNTIF($N$4:N113, "Close")), "Close", "")</f>
        <v>Close</v>
      </c>
      <c r="O114" s="5" t="str">
        <f>IF(AND(E114&lt;G114, J114&lt;'P&amp;L'!$C$24, J113&gt;'P&amp;L'!$C$24, COUNTIF($O$4:O113, "Short")=COUNTIF($Q$4:Q113, "Close")), "Short", "")</f>
        <v/>
      </c>
      <c r="P114" s="5" t="str">
        <f>IF(O114="Short", E114*'P&amp;L'!$C$21, "")</f>
        <v/>
      </c>
      <c r="Q114" s="5" t="str">
        <f>IF(AND(J114&gt;'P&amp;L'!$C$23, COUNTIF($O$4:O113, "Short") &gt; COUNTIF($Q$4:Q113, "Close")), "Close", "")</f>
        <v/>
      </c>
      <c r="R114" s="6">
        <v>103057</v>
      </c>
    </row>
    <row r="115" spans="1:18" x14ac:dyDescent="0.35">
      <c r="A115" s="12">
        <v>42879</v>
      </c>
      <c r="B115" s="1">
        <v>952.98</v>
      </c>
      <c r="C115" s="1">
        <v>955.09</v>
      </c>
      <c r="D115" s="1">
        <v>949.5</v>
      </c>
      <c r="E115" s="1">
        <v>954.96</v>
      </c>
      <c r="F115" s="1">
        <v>1034199</v>
      </c>
      <c r="G115" s="6">
        <f t="shared" si="9"/>
        <v>962.26285714285711</v>
      </c>
      <c r="H115" s="6">
        <f t="shared" si="5"/>
        <v>988.25</v>
      </c>
      <c r="I115" s="6">
        <f t="shared" si="6"/>
        <v>915.23</v>
      </c>
      <c r="J115" s="6">
        <f t="shared" si="7"/>
        <v>54.409750753218333</v>
      </c>
      <c r="K115" s="6">
        <f t="shared" si="8"/>
        <v>68.602209440335983</v>
      </c>
      <c r="L115" s="4" t="str">
        <f>IF(AND(E115&gt;G115, J115&gt;'P&amp;L'!$C$23, COUNTIF($L$4:L114, "Long")=COUNTIF($N$4:N114, "Close")), "Long", "")</f>
        <v/>
      </c>
      <c r="M115" s="4" t="str">
        <f>IF(L115="Long", E115*'P&amp;L'!$C$21,"")</f>
        <v/>
      </c>
      <c r="N115" s="4" t="str">
        <f>IF(AND(J115&gt;'P&amp;L'!$C$24, COUNTIF($L$4:L114, "Long") &gt; COUNTIF($N$4:N114, "Close")), "Close", "")</f>
        <v/>
      </c>
      <c r="O115" s="5" t="str">
        <f>IF(AND(E115&lt;G115, J115&lt;'P&amp;L'!$C$24, J114&gt;'P&amp;L'!$C$24, COUNTIF($O$4:O114, "Short")=COUNTIF($Q$4:Q114, "Close")), "Short", "")</f>
        <v/>
      </c>
      <c r="P115" s="5" t="str">
        <f>IF(O115="Short", E115*'P&amp;L'!$C$21, "")</f>
        <v/>
      </c>
      <c r="Q115" s="5" t="str">
        <f>IF(AND(J115&gt;'P&amp;L'!$C$23, COUNTIF($O$4:O114, "Short") &gt; COUNTIF($Q$4:Q114, "Close")), "Close", "")</f>
        <v/>
      </c>
      <c r="R115" s="6">
        <v>103057</v>
      </c>
    </row>
    <row r="116" spans="1:18" x14ac:dyDescent="0.35">
      <c r="A116" s="12">
        <v>42878</v>
      </c>
      <c r="B116" s="1">
        <v>947.92</v>
      </c>
      <c r="C116" s="1">
        <v>951.47</v>
      </c>
      <c r="D116" s="1">
        <v>942.58</v>
      </c>
      <c r="E116" s="1">
        <v>948.82</v>
      </c>
      <c r="F116" s="1">
        <v>1270817</v>
      </c>
      <c r="G116" s="6">
        <f t="shared" si="9"/>
        <v>961.86904761904759</v>
      </c>
      <c r="H116" s="6">
        <f t="shared" si="5"/>
        <v>988.25</v>
      </c>
      <c r="I116" s="6">
        <f t="shared" si="6"/>
        <v>915.23</v>
      </c>
      <c r="J116" s="6">
        <f t="shared" si="7"/>
        <v>46.0010955902493</v>
      </c>
      <c r="K116" s="6">
        <f t="shared" si="8"/>
        <v>58.262576463069486</v>
      </c>
      <c r="L116" s="4" t="str">
        <f>IF(AND(E116&gt;G116, J116&gt;'P&amp;L'!$C$23, COUNTIF($L$4:L115, "Long")=COUNTIF($N$4:N115, "Close")), "Long", "")</f>
        <v/>
      </c>
      <c r="M116" s="4" t="str">
        <f>IF(L116="Long", E116*'P&amp;L'!$C$21,"")</f>
        <v/>
      </c>
      <c r="N116" s="4" t="str">
        <f>IF(AND(J116&gt;'P&amp;L'!$C$24, COUNTIF($L$4:L115, "Long") &gt; COUNTIF($N$4:N115, "Close")), "Close", "")</f>
        <v/>
      </c>
      <c r="O116" s="5" t="str">
        <f>IF(AND(E116&lt;G116, J116&lt;'P&amp;L'!$C$24, J115&gt;'P&amp;L'!$C$24, COUNTIF($O$4:O115, "Short")=COUNTIF($Q$4:Q115, "Close")), "Short", "")</f>
        <v/>
      </c>
      <c r="P116" s="5" t="str">
        <f>IF(O116="Short", E116*'P&amp;L'!$C$21, "")</f>
        <v/>
      </c>
      <c r="Q116" s="5" t="str">
        <f>IF(AND(J116&gt;'P&amp;L'!$C$23, COUNTIF($O$4:O115, "Short") &gt; COUNTIF($Q$4:Q115, "Close")), "Close", "")</f>
        <v/>
      </c>
      <c r="R116" s="6">
        <v>103057</v>
      </c>
    </row>
    <row r="117" spans="1:18" x14ac:dyDescent="0.35">
      <c r="A117" s="12">
        <v>42877</v>
      </c>
      <c r="B117" s="1">
        <v>935</v>
      </c>
      <c r="C117" s="1">
        <v>941.88</v>
      </c>
      <c r="D117" s="1">
        <v>935</v>
      </c>
      <c r="E117" s="1">
        <v>941.86</v>
      </c>
      <c r="F117" s="1">
        <v>1120385</v>
      </c>
      <c r="G117" s="6">
        <f t="shared" si="9"/>
        <v>961.03142857142859</v>
      </c>
      <c r="H117" s="6">
        <f t="shared" si="5"/>
        <v>988.25</v>
      </c>
      <c r="I117" s="6">
        <f t="shared" si="6"/>
        <v>915.23</v>
      </c>
      <c r="J117" s="6">
        <f t="shared" si="7"/>
        <v>36.469460421802246</v>
      </c>
      <c r="K117" s="6">
        <f t="shared" si="8"/>
        <v>45.626768921756621</v>
      </c>
      <c r="L117" s="4" t="str">
        <f>IF(AND(E117&gt;G117, J117&gt;'P&amp;L'!$C$23, COUNTIF($L$4:L116, "Long")=COUNTIF($N$4:N116, "Close")), "Long", "")</f>
        <v/>
      </c>
      <c r="M117" s="4" t="str">
        <f>IF(L117="Long", E117*'P&amp;L'!$C$21,"")</f>
        <v/>
      </c>
      <c r="N117" s="4" t="str">
        <f>IF(AND(J117&gt;'P&amp;L'!$C$24, COUNTIF($L$4:L116, "Long") &gt; COUNTIF($N$4:N116, "Close")), "Close", "")</f>
        <v/>
      </c>
      <c r="O117" s="5" t="str">
        <f>IF(AND(E117&lt;G117, J117&lt;'P&amp;L'!$C$24, J116&gt;'P&amp;L'!$C$24, COUNTIF($O$4:O116, "Short")=COUNTIF($Q$4:Q116, "Close")), "Short", "")</f>
        <v>Short</v>
      </c>
      <c r="P117" s="5">
        <f>IF(O117="Short", E117*'P&amp;L'!$C$21, "")</f>
        <v>47093</v>
      </c>
      <c r="Q117" s="5" t="str">
        <f>IF(AND(J117&gt;'P&amp;L'!$C$23, COUNTIF($O$4:O116, "Short") &gt; COUNTIF($Q$4:Q116, "Close")), "Close", "")</f>
        <v/>
      </c>
      <c r="R117" s="6">
        <v>150150</v>
      </c>
    </row>
    <row r="118" spans="1:18" x14ac:dyDescent="0.35">
      <c r="A118" s="12">
        <v>42874</v>
      </c>
      <c r="B118" s="1">
        <v>931.47</v>
      </c>
      <c r="C118" s="1">
        <v>937.76</v>
      </c>
      <c r="D118" s="1">
        <v>931</v>
      </c>
      <c r="E118" s="1">
        <v>934.01</v>
      </c>
      <c r="F118" s="1">
        <v>1393024</v>
      </c>
      <c r="G118" s="6">
        <f t="shared" si="9"/>
        <v>960.2399999999999</v>
      </c>
      <c r="H118" s="6">
        <f t="shared" si="5"/>
        <v>988.25</v>
      </c>
      <c r="I118" s="6">
        <f t="shared" si="6"/>
        <v>931</v>
      </c>
      <c r="J118" s="6">
        <f t="shared" si="7"/>
        <v>5.2576419213973642</v>
      </c>
      <c r="K118" s="6">
        <f t="shared" si="8"/>
        <v>29.24273264448297</v>
      </c>
      <c r="L118" s="4" t="str">
        <f>IF(AND(E118&gt;G118, J118&gt;'P&amp;L'!$C$23, COUNTIF($L$4:L117, "Long")=COUNTIF($N$4:N117, "Close")), "Long", "")</f>
        <v/>
      </c>
      <c r="M118" s="4" t="str">
        <f>IF(L118="Long", E118*'P&amp;L'!$C$21,"")</f>
        <v/>
      </c>
      <c r="N118" s="4" t="str">
        <f>IF(AND(J118&gt;'P&amp;L'!$C$24, COUNTIF($L$4:L117, "Long") &gt; COUNTIF($N$4:N117, "Close")), "Close", "")</f>
        <v/>
      </c>
      <c r="O118" s="5" t="str">
        <f>IF(AND(E118&lt;G118, J118&lt;'P&amp;L'!$C$24, J117&gt;'P&amp;L'!$C$24, COUNTIF($O$4:O117, "Short")=COUNTIF($Q$4:Q117, "Close")), "Short", "")</f>
        <v/>
      </c>
      <c r="P118" s="5" t="str">
        <f>IF(O118="Short", E118*'P&amp;L'!$C$21, "")</f>
        <v/>
      </c>
      <c r="Q118" s="5" t="str">
        <f>IF(AND(J118&gt;'P&amp;L'!$C$23, COUNTIF($O$4:O117, "Short") &gt; COUNTIF($Q$4:Q117, "Close")), "Close", "")</f>
        <v/>
      </c>
      <c r="R118" s="6">
        <v>150150</v>
      </c>
    </row>
    <row r="119" spans="1:18" x14ac:dyDescent="0.35">
      <c r="A119" s="12">
        <v>42873</v>
      </c>
      <c r="B119" s="1">
        <v>921</v>
      </c>
      <c r="C119" s="1">
        <v>933.17</v>
      </c>
      <c r="D119" s="1">
        <v>918.75</v>
      </c>
      <c r="E119" s="1">
        <v>930.24</v>
      </c>
      <c r="F119" s="1">
        <v>1596897</v>
      </c>
      <c r="G119" s="6">
        <f t="shared" si="9"/>
        <v>958.94809523809522</v>
      </c>
      <c r="H119" s="6">
        <f t="shared" si="5"/>
        <v>988.25</v>
      </c>
      <c r="I119" s="6">
        <f t="shared" si="6"/>
        <v>918.75</v>
      </c>
      <c r="J119" s="6">
        <f t="shared" si="7"/>
        <v>16.532374100719437</v>
      </c>
      <c r="K119" s="6">
        <f t="shared" si="8"/>
        <v>19.419825481306351</v>
      </c>
      <c r="L119" s="4" t="str">
        <f>IF(AND(E119&gt;G119, J119&gt;'P&amp;L'!$C$23, COUNTIF($L$4:L118, "Long")=COUNTIF($N$4:N118, "Close")), "Long", "")</f>
        <v/>
      </c>
      <c r="M119" s="4" t="str">
        <f>IF(L119="Long", E119*'P&amp;L'!$C$21,"")</f>
        <v/>
      </c>
      <c r="N119" s="4" t="str">
        <f>IF(AND(J119&gt;'P&amp;L'!$C$24, COUNTIF($L$4:L118, "Long") &gt; COUNTIF($N$4:N118, "Close")), "Close", "")</f>
        <v/>
      </c>
      <c r="O119" s="5" t="str">
        <f>IF(AND(E119&lt;G119, J119&lt;'P&amp;L'!$C$24, J118&gt;'P&amp;L'!$C$24, COUNTIF($O$4:O118, "Short")=COUNTIF($Q$4:Q118, "Close")), "Short", "")</f>
        <v/>
      </c>
      <c r="P119" s="5" t="str">
        <f>IF(O119="Short", E119*'P&amp;L'!$C$21, "")</f>
        <v/>
      </c>
      <c r="Q119" s="5" t="str">
        <f>IF(AND(J119&gt;'P&amp;L'!$C$23, COUNTIF($O$4:O118, "Short") &gt; COUNTIF($Q$4:Q118, "Close")), "Close", "")</f>
        <v/>
      </c>
      <c r="R119" s="6">
        <v>150150</v>
      </c>
    </row>
    <row r="120" spans="1:18" x14ac:dyDescent="0.35">
      <c r="A120" s="12">
        <v>42872</v>
      </c>
      <c r="B120" s="1">
        <v>935.67</v>
      </c>
      <c r="C120" s="1">
        <v>939.33</v>
      </c>
      <c r="D120" s="1">
        <v>918.14</v>
      </c>
      <c r="E120" s="1">
        <v>919.62</v>
      </c>
      <c r="F120" s="1">
        <v>2362072</v>
      </c>
      <c r="G120" s="6">
        <f t="shared" si="9"/>
        <v>957.98809523809507</v>
      </c>
      <c r="H120" s="6">
        <f t="shared" si="5"/>
        <v>988.25</v>
      </c>
      <c r="I120" s="6">
        <f t="shared" si="6"/>
        <v>918.14</v>
      </c>
      <c r="J120" s="6">
        <f t="shared" si="7"/>
        <v>2.1109684781058591</v>
      </c>
      <c r="K120" s="6">
        <f t="shared" si="8"/>
        <v>7.9669948334075542</v>
      </c>
      <c r="L120" s="4" t="str">
        <f>IF(AND(E120&gt;G120, J120&gt;'P&amp;L'!$C$23, COUNTIF($L$4:L119, "Long")=COUNTIF($N$4:N119, "Close")), "Long", "")</f>
        <v/>
      </c>
      <c r="M120" s="4" t="str">
        <f>IF(L120="Long", E120*'P&amp;L'!$C$21,"")</f>
        <v/>
      </c>
      <c r="N120" s="4" t="str">
        <f>IF(AND(J120&gt;'P&amp;L'!$C$24, COUNTIF($L$4:L119, "Long") &gt; COUNTIF($N$4:N119, "Close")), "Close", "")</f>
        <v/>
      </c>
      <c r="O120" s="5" t="str">
        <f>IF(AND(E120&lt;G120, J120&lt;'P&amp;L'!$C$24, J119&gt;'P&amp;L'!$C$24, COUNTIF($O$4:O119, "Short")=COUNTIF($Q$4:Q119, "Close")), "Short", "")</f>
        <v/>
      </c>
      <c r="P120" s="5" t="str">
        <f>IF(O120="Short", E120*'P&amp;L'!$C$21, "")</f>
        <v/>
      </c>
      <c r="Q120" s="5" t="str">
        <f>IF(AND(J120&gt;'P&amp;L'!$C$23, COUNTIF($O$4:O119, "Short") &gt; COUNTIF($Q$4:Q119, "Close")), "Close", "")</f>
        <v/>
      </c>
      <c r="R120" s="6">
        <v>150150</v>
      </c>
    </row>
    <row r="121" spans="1:18" x14ac:dyDescent="0.35">
      <c r="A121" s="12">
        <v>42871</v>
      </c>
      <c r="B121" s="1">
        <v>940</v>
      </c>
      <c r="C121" s="1">
        <v>943.11</v>
      </c>
      <c r="D121" s="1">
        <v>937.58</v>
      </c>
      <c r="E121" s="1">
        <v>943</v>
      </c>
      <c r="F121" s="1">
        <v>969479</v>
      </c>
      <c r="G121" s="6">
        <f t="shared" si="9"/>
        <v>958.02095238095228</v>
      </c>
      <c r="H121" s="6">
        <f t="shared" si="5"/>
        <v>988.25</v>
      </c>
      <c r="I121" s="6">
        <f t="shared" si="6"/>
        <v>918.14</v>
      </c>
      <c r="J121" s="6">
        <f t="shared" si="7"/>
        <v>35.458565111966919</v>
      </c>
      <c r="K121" s="6">
        <f t="shared" si="8"/>
        <v>18.033969230264074</v>
      </c>
      <c r="L121" s="4" t="str">
        <f>IF(AND(E121&gt;G121, J121&gt;'P&amp;L'!$C$23, COUNTIF($L$4:L120, "Long")=COUNTIF($N$4:N120, "Close")), "Long", "")</f>
        <v/>
      </c>
      <c r="M121" s="4" t="str">
        <f>IF(L121="Long", E121*'P&amp;L'!$C$21,"")</f>
        <v/>
      </c>
      <c r="N121" s="4" t="str">
        <f>IF(AND(J121&gt;'P&amp;L'!$C$24, COUNTIF($L$4:L120, "Long") &gt; COUNTIF($N$4:N120, "Close")), "Close", "")</f>
        <v/>
      </c>
      <c r="O121" s="5" t="str">
        <f>IF(AND(E121&lt;G121, J121&lt;'P&amp;L'!$C$24, J120&gt;'P&amp;L'!$C$24, COUNTIF($O$4:O120, "Short")=COUNTIF($Q$4:Q120, "Close")), "Short", "")</f>
        <v/>
      </c>
      <c r="P121" s="5" t="str">
        <f>IF(O121="Short", E121*'P&amp;L'!$C$21, "")</f>
        <v/>
      </c>
      <c r="Q121" s="5" t="str">
        <f>IF(AND(J121&gt;'P&amp;L'!$C$23, COUNTIF($O$4:O120, "Short") &gt; COUNTIF($Q$4:Q120, "Close")), "Close", "")</f>
        <v>Close</v>
      </c>
      <c r="R121" s="6">
        <v>103000</v>
      </c>
    </row>
    <row r="122" spans="1:18" x14ac:dyDescent="0.35">
      <c r="A122" s="12">
        <v>42870</v>
      </c>
      <c r="B122" s="1">
        <v>932.95</v>
      </c>
      <c r="C122" s="1">
        <v>938.25</v>
      </c>
      <c r="D122" s="1">
        <v>929.34</v>
      </c>
      <c r="E122" s="1">
        <v>937.08</v>
      </c>
      <c r="F122" s="1">
        <v>1108496</v>
      </c>
      <c r="G122" s="6">
        <f t="shared" si="9"/>
        <v>957.36952380952368</v>
      </c>
      <c r="H122" s="6">
        <f t="shared" si="5"/>
        <v>986.91</v>
      </c>
      <c r="I122" s="6">
        <f t="shared" si="6"/>
        <v>918.14</v>
      </c>
      <c r="J122" s="6">
        <f t="shared" si="7"/>
        <v>27.54107895884842</v>
      </c>
      <c r="K122" s="6">
        <f t="shared" si="8"/>
        <v>21.703537516307065</v>
      </c>
      <c r="L122" s="4" t="str">
        <f>IF(AND(E122&gt;G122, J122&gt;'P&amp;L'!$C$23, COUNTIF($L$4:L121, "Long")=COUNTIF($N$4:N121, "Close")), "Long", "")</f>
        <v/>
      </c>
      <c r="M122" s="4" t="str">
        <f>IF(L122="Long", E122*'P&amp;L'!$C$21,"")</f>
        <v/>
      </c>
      <c r="N122" s="4" t="str">
        <f>IF(AND(J122&gt;'P&amp;L'!$C$24, COUNTIF($L$4:L121, "Long") &gt; COUNTIF($N$4:N121, "Close")), "Close", "")</f>
        <v/>
      </c>
      <c r="O122" s="5" t="str">
        <f>IF(AND(E122&lt;G122, J122&lt;'P&amp;L'!$C$24, J121&gt;'P&amp;L'!$C$24, COUNTIF($O$4:O121, "Short")=COUNTIF($Q$4:Q121, "Close")), "Short", "")</f>
        <v/>
      </c>
      <c r="P122" s="5" t="str">
        <f>IF(O122="Short", E122*'P&amp;L'!$C$21, "")</f>
        <v/>
      </c>
      <c r="Q122" s="5" t="str">
        <f>IF(AND(J122&gt;'P&amp;L'!$C$23, COUNTIF($O$4:O121, "Short") &gt; COUNTIF($Q$4:Q121, "Close")), "Close", "")</f>
        <v/>
      </c>
      <c r="R122" s="6">
        <v>103000</v>
      </c>
    </row>
    <row r="123" spans="1:18" x14ac:dyDescent="0.35">
      <c r="A123" s="12">
        <v>42867</v>
      </c>
      <c r="B123" s="1">
        <v>931.53</v>
      </c>
      <c r="C123" s="1">
        <v>933.44</v>
      </c>
      <c r="D123" s="1">
        <v>927.85</v>
      </c>
      <c r="E123" s="1">
        <v>932.22</v>
      </c>
      <c r="F123" s="1">
        <v>1050601</v>
      </c>
      <c r="G123" s="6">
        <f t="shared" si="9"/>
        <v>956.36095238095243</v>
      </c>
      <c r="H123" s="6">
        <f t="shared" si="5"/>
        <v>979.27</v>
      </c>
      <c r="I123" s="6">
        <f t="shared" si="6"/>
        <v>918.14</v>
      </c>
      <c r="J123" s="6">
        <f t="shared" si="7"/>
        <v>23.032880745951321</v>
      </c>
      <c r="K123" s="6">
        <f t="shared" si="8"/>
        <v>28.677508272255551</v>
      </c>
      <c r="L123" s="4" t="str">
        <f>IF(AND(E123&gt;G123, J123&gt;'P&amp;L'!$C$23, COUNTIF($L$4:L122, "Long")=COUNTIF($N$4:N122, "Close")), "Long", "")</f>
        <v/>
      </c>
      <c r="M123" s="4" t="str">
        <f>IF(L123="Long", E123*'P&amp;L'!$C$21,"")</f>
        <v/>
      </c>
      <c r="N123" s="4" t="str">
        <f>IF(AND(J123&gt;'P&amp;L'!$C$24, COUNTIF($L$4:L122, "Long") &gt; COUNTIF($N$4:N122, "Close")), "Close", "")</f>
        <v/>
      </c>
      <c r="O123" s="5" t="str">
        <f>IF(AND(E123&lt;G123, J123&lt;'P&amp;L'!$C$24, J122&gt;'P&amp;L'!$C$24, COUNTIF($O$4:O122, "Short")=COUNTIF($Q$4:Q122, "Close")), "Short", "")</f>
        <v/>
      </c>
      <c r="P123" s="5" t="str">
        <f>IF(O123="Short", E123*'P&amp;L'!$C$21, "")</f>
        <v/>
      </c>
      <c r="Q123" s="5" t="str">
        <f>IF(AND(J123&gt;'P&amp;L'!$C$23, COUNTIF($O$4:O122, "Short") &gt; COUNTIF($Q$4:Q122, "Close")), "Close", "")</f>
        <v/>
      </c>
      <c r="R123" s="6">
        <v>103000</v>
      </c>
    </row>
    <row r="124" spans="1:18" x14ac:dyDescent="0.35">
      <c r="A124" s="12">
        <v>42866</v>
      </c>
      <c r="B124" s="1">
        <v>925.32</v>
      </c>
      <c r="C124" s="1">
        <v>932.53</v>
      </c>
      <c r="D124" s="1">
        <v>923.03</v>
      </c>
      <c r="E124" s="1">
        <v>930.6</v>
      </c>
      <c r="F124" s="1">
        <v>835386</v>
      </c>
      <c r="G124" s="6">
        <f t="shared" si="9"/>
        <v>955.77523809523802</v>
      </c>
      <c r="H124" s="6">
        <f t="shared" si="5"/>
        <v>979.27</v>
      </c>
      <c r="I124" s="6">
        <f t="shared" si="6"/>
        <v>918.14</v>
      </c>
      <c r="J124" s="6">
        <f t="shared" si="7"/>
        <v>20.382790773760899</v>
      </c>
      <c r="K124" s="6">
        <f t="shared" si="8"/>
        <v>23.652250159520211</v>
      </c>
      <c r="L124" s="4" t="str">
        <f>IF(AND(E124&gt;G124, J124&gt;'P&amp;L'!$C$23, COUNTIF($L$4:L123, "Long")=COUNTIF($N$4:N123, "Close")), "Long", "")</f>
        <v/>
      </c>
      <c r="M124" s="4" t="str">
        <f>IF(L124="Long", E124*'P&amp;L'!$C$21,"")</f>
        <v/>
      </c>
      <c r="N124" s="4" t="str">
        <f>IF(AND(J124&gt;'P&amp;L'!$C$24, COUNTIF($L$4:L123, "Long") &gt; COUNTIF($N$4:N123, "Close")), "Close", "")</f>
        <v/>
      </c>
      <c r="O124" s="5" t="str">
        <f>IF(AND(E124&lt;G124, J124&lt;'P&amp;L'!$C$24, J123&gt;'P&amp;L'!$C$24, COUNTIF($O$4:O123, "Short")=COUNTIF($Q$4:Q123, "Close")), "Short", "")</f>
        <v/>
      </c>
      <c r="P124" s="5" t="str">
        <f>IF(O124="Short", E124*'P&amp;L'!$C$21, "")</f>
        <v/>
      </c>
      <c r="Q124" s="5" t="str">
        <f>IF(AND(J124&gt;'P&amp;L'!$C$23, COUNTIF($O$4:O123, "Short") &gt; COUNTIF($Q$4:Q123, "Close")), "Close", "")</f>
        <v/>
      </c>
      <c r="R124" s="6">
        <v>103000</v>
      </c>
    </row>
    <row r="125" spans="1:18" x14ac:dyDescent="0.35">
      <c r="A125" s="12">
        <v>42865</v>
      </c>
      <c r="B125" s="1">
        <v>931.98</v>
      </c>
      <c r="C125" s="1">
        <v>932</v>
      </c>
      <c r="D125" s="1">
        <v>925.16</v>
      </c>
      <c r="E125" s="1">
        <v>928.78</v>
      </c>
      <c r="F125" s="1">
        <v>1173925</v>
      </c>
      <c r="G125" s="6">
        <f t="shared" si="9"/>
        <v>954.77285714285711</v>
      </c>
      <c r="H125" s="6">
        <f t="shared" si="5"/>
        <v>979.27</v>
      </c>
      <c r="I125" s="6">
        <f t="shared" si="6"/>
        <v>918.14</v>
      </c>
      <c r="J125" s="6">
        <f t="shared" si="7"/>
        <v>17.405529200065413</v>
      </c>
      <c r="K125" s="6">
        <f t="shared" si="8"/>
        <v>20.273733573259211</v>
      </c>
      <c r="L125" s="4" t="str">
        <f>IF(AND(E125&gt;G125, J125&gt;'P&amp;L'!$C$23, COUNTIF($L$4:L124, "Long")=COUNTIF($N$4:N124, "Close")), "Long", "")</f>
        <v/>
      </c>
      <c r="M125" s="4" t="str">
        <f>IF(L125="Long", E125*'P&amp;L'!$C$21,"")</f>
        <v/>
      </c>
      <c r="N125" s="4" t="str">
        <f>IF(AND(J125&gt;'P&amp;L'!$C$24, COUNTIF($L$4:L124, "Long") &gt; COUNTIF($N$4:N124, "Close")), "Close", "")</f>
        <v/>
      </c>
      <c r="O125" s="5" t="str">
        <f>IF(AND(E125&lt;G125, J125&lt;'P&amp;L'!$C$24, J124&gt;'P&amp;L'!$C$24, COUNTIF($O$4:O124, "Short")=COUNTIF($Q$4:Q124, "Close")), "Short", "")</f>
        <v/>
      </c>
      <c r="P125" s="5" t="str">
        <f>IF(O125="Short", E125*'P&amp;L'!$C$21, "")</f>
        <v/>
      </c>
      <c r="Q125" s="5" t="str">
        <f>IF(AND(J125&gt;'P&amp;L'!$C$23, COUNTIF($O$4:O124, "Short") &gt; COUNTIF($Q$4:Q124, "Close")), "Close", "")</f>
        <v/>
      </c>
      <c r="R125" s="6">
        <v>103000</v>
      </c>
    </row>
    <row r="126" spans="1:18" x14ac:dyDescent="0.35">
      <c r="A126" s="12">
        <v>42864</v>
      </c>
      <c r="B126" s="1">
        <v>936.95</v>
      </c>
      <c r="C126" s="1">
        <v>937.5</v>
      </c>
      <c r="D126" s="1">
        <v>929.53</v>
      </c>
      <c r="E126" s="1">
        <v>932.17</v>
      </c>
      <c r="F126" s="1">
        <v>1581809</v>
      </c>
      <c r="G126" s="6">
        <f t="shared" si="9"/>
        <v>952.33285714285705</v>
      </c>
      <c r="H126" s="6">
        <f t="shared" si="5"/>
        <v>976.2</v>
      </c>
      <c r="I126" s="6">
        <f t="shared" si="6"/>
        <v>918.14</v>
      </c>
      <c r="J126" s="6">
        <f t="shared" si="7"/>
        <v>24.164657251119458</v>
      </c>
      <c r="K126" s="6">
        <f t="shared" si="8"/>
        <v>20.650992408315258</v>
      </c>
      <c r="L126" s="4" t="str">
        <f>IF(AND(E126&gt;G126, J126&gt;'P&amp;L'!$C$23, COUNTIF($L$4:L125, "Long")=COUNTIF($N$4:N125, "Close")), "Long", "")</f>
        <v/>
      </c>
      <c r="M126" s="4" t="str">
        <f>IF(L126="Long", E126*'P&amp;L'!$C$21,"")</f>
        <v/>
      </c>
      <c r="N126" s="4" t="str">
        <f>IF(AND(J126&gt;'P&amp;L'!$C$24, COUNTIF($L$4:L125, "Long") &gt; COUNTIF($N$4:N125, "Close")), "Close", "")</f>
        <v/>
      </c>
      <c r="O126" s="5" t="str">
        <f>IF(AND(E126&lt;G126, J126&lt;'P&amp;L'!$C$24, J125&gt;'P&amp;L'!$C$24, COUNTIF($O$4:O125, "Short")=COUNTIF($Q$4:Q125, "Close")), "Short", "")</f>
        <v/>
      </c>
      <c r="P126" s="5" t="str">
        <f>IF(O126="Short", E126*'P&amp;L'!$C$21, "")</f>
        <v/>
      </c>
      <c r="Q126" s="5" t="str">
        <f>IF(AND(J126&gt;'P&amp;L'!$C$23, COUNTIF($O$4:O125, "Short") &gt; COUNTIF($Q$4:Q125, "Close")), "Close", "")</f>
        <v/>
      </c>
      <c r="R126" s="6">
        <v>103000</v>
      </c>
    </row>
    <row r="127" spans="1:18" x14ac:dyDescent="0.35">
      <c r="A127" s="12">
        <v>42863</v>
      </c>
      <c r="B127" s="1">
        <v>926.12</v>
      </c>
      <c r="C127" s="1">
        <v>936.92</v>
      </c>
      <c r="D127" s="1">
        <v>925.26</v>
      </c>
      <c r="E127" s="1">
        <v>934.3</v>
      </c>
      <c r="F127" s="1">
        <v>1329825</v>
      </c>
      <c r="G127" s="6">
        <f t="shared" si="9"/>
        <v>950.10523809523784</v>
      </c>
      <c r="H127" s="6">
        <f t="shared" si="5"/>
        <v>974.98</v>
      </c>
      <c r="I127" s="6">
        <f t="shared" si="6"/>
        <v>918.14</v>
      </c>
      <c r="J127" s="6">
        <f t="shared" si="7"/>
        <v>28.430682617874663</v>
      </c>
      <c r="K127" s="6">
        <f t="shared" si="8"/>
        <v>23.333623023019843</v>
      </c>
      <c r="L127" s="4" t="str">
        <f>IF(AND(E127&gt;G127, J127&gt;'P&amp;L'!$C$23, COUNTIF($L$4:L126, "Long")=COUNTIF($N$4:N126, "Close")), "Long", "")</f>
        <v/>
      </c>
      <c r="M127" s="4" t="str">
        <f>IF(L127="Long", E127*'P&amp;L'!$C$21,"")</f>
        <v/>
      </c>
      <c r="N127" s="4" t="str">
        <f>IF(AND(J127&gt;'P&amp;L'!$C$24, COUNTIF($L$4:L126, "Long") &gt; COUNTIF($N$4:N126, "Close")), "Close", "")</f>
        <v/>
      </c>
      <c r="O127" s="5" t="str">
        <f>IF(AND(E127&lt;G127, J127&lt;'P&amp;L'!$C$24, J126&gt;'P&amp;L'!$C$24, COUNTIF($O$4:O126, "Short")=COUNTIF($Q$4:Q126, "Close")), "Short", "")</f>
        <v/>
      </c>
      <c r="P127" s="5" t="str">
        <f>IF(O127="Short", E127*'P&amp;L'!$C$21, "")</f>
        <v/>
      </c>
      <c r="Q127" s="5" t="str">
        <f>IF(AND(J127&gt;'P&amp;L'!$C$23, COUNTIF($O$4:O126, "Short") &gt; COUNTIF($Q$4:Q126, "Close")), "Close", "")</f>
        <v/>
      </c>
      <c r="R127" s="6">
        <v>103000</v>
      </c>
    </row>
    <row r="128" spans="1:18" x14ac:dyDescent="0.35">
      <c r="A128" s="12">
        <v>42860</v>
      </c>
      <c r="B128" s="1">
        <v>933.54</v>
      </c>
      <c r="C128" s="1">
        <v>934.9</v>
      </c>
      <c r="D128" s="1">
        <v>925.2</v>
      </c>
      <c r="E128" s="1">
        <v>927.13</v>
      </c>
      <c r="F128" s="1">
        <v>1911275</v>
      </c>
      <c r="G128" s="6">
        <f t="shared" si="9"/>
        <v>947.75095238095241</v>
      </c>
      <c r="H128" s="6">
        <f t="shared" si="5"/>
        <v>972.63</v>
      </c>
      <c r="I128" s="6">
        <f t="shared" si="6"/>
        <v>918.14</v>
      </c>
      <c r="J128" s="6">
        <f t="shared" si="7"/>
        <v>16.498440080748775</v>
      </c>
      <c r="K128" s="6">
        <f t="shared" si="8"/>
        <v>23.031259983247633</v>
      </c>
      <c r="L128" s="4" t="str">
        <f>IF(AND(E128&gt;G128, J128&gt;'P&amp;L'!$C$23, COUNTIF($L$4:L127, "Long")=COUNTIF($N$4:N127, "Close")), "Long", "")</f>
        <v/>
      </c>
      <c r="M128" s="4" t="str">
        <f>IF(L128="Long", E128*'P&amp;L'!$C$21,"")</f>
        <v/>
      </c>
      <c r="N128" s="4" t="str">
        <f>IF(AND(J128&gt;'P&amp;L'!$C$24, COUNTIF($L$4:L127, "Long") &gt; COUNTIF($N$4:N127, "Close")), "Close", "")</f>
        <v/>
      </c>
      <c r="O128" s="5" t="str">
        <f>IF(AND(E128&lt;G128, J128&lt;'P&amp;L'!$C$24, J127&gt;'P&amp;L'!$C$24, COUNTIF($O$4:O127, "Short")=COUNTIF($Q$4:Q127, "Close")), "Short", "")</f>
        <v/>
      </c>
      <c r="P128" s="5" t="str">
        <f>IF(O128="Short", E128*'P&amp;L'!$C$21, "")</f>
        <v/>
      </c>
      <c r="Q128" s="5" t="str">
        <f>IF(AND(J128&gt;'P&amp;L'!$C$23, COUNTIF($O$4:O127, "Short") &gt; COUNTIF($Q$4:Q127, "Close")), "Close", "")</f>
        <v/>
      </c>
      <c r="R128" s="6">
        <v>103000</v>
      </c>
    </row>
    <row r="129" spans="1:18" x14ac:dyDescent="0.35">
      <c r="A129" s="12">
        <v>42859</v>
      </c>
      <c r="B129" s="1">
        <v>926.07</v>
      </c>
      <c r="C129" s="1">
        <v>935.93</v>
      </c>
      <c r="D129" s="1">
        <v>924.59</v>
      </c>
      <c r="E129" s="1">
        <v>931.66</v>
      </c>
      <c r="F129" s="1">
        <v>1422144</v>
      </c>
      <c r="G129" s="6">
        <f t="shared" si="9"/>
        <v>945.27380952380952</v>
      </c>
      <c r="H129" s="6">
        <f t="shared" si="5"/>
        <v>955.09</v>
      </c>
      <c r="I129" s="6">
        <f t="shared" si="6"/>
        <v>918.14</v>
      </c>
      <c r="J129" s="6">
        <f t="shared" si="7"/>
        <v>36.589986468200173</v>
      </c>
      <c r="K129" s="6">
        <f t="shared" si="8"/>
        <v>27.173036388941203</v>
      </c>
      <c r="L129" s="4" t="str">
        <f>IF(AND(E129&gt;G129, J129&gt;'P&amp;L'!$C$23, COUNTIF($L$4:L128, "Long")=COUNTIF($N$4:N128, "Close")), "Long", "")</f>
        <v/>
      </c>
      <c r="M129" s="4" t="str">
        <f>IF(L129="Long", E129*'P&amp;L'!$C$21,"")</f>
        <v/>
      </c>
      <c r="N129" s="4" t="str">
        <f>IF(AND(J129&gt;'P&amp;L'!$C$24, COUNTIF($L$4:L128, "Long") &gt; COUNTIF($N$4:N128, "Close")), "Close", "")</f>
        <v/>
      </c>
      <c r="O129" s="5" t="str">
        <f>IF(AND(E129&lt;G129, J129&lt;'P&amp;L'!$C$24, J128&gt;'P&amp;L'!$C$24, COUNTIF($O$4:O128, "Short")=COUNTIF($Q$4:Q128, "Close")), "Short", "")</f>
        <v/>
      </c>
      <c r="P129" s="5" t="str">
        <f>IF(O129="Short", E129*'P&amp;L'!$C$21, "")</f>
        <v/>
      </c>
      <c r="Q129" s="5" t="str">
        <f>IF(AND(J129&gt;'P&amp;L'!$C$23, COUNTIF($O$4:O128, "Short") &gt; COUNTIF($Q$4:Q128, "Close")), "Close", "")</f>
        <v/>
      </c>
      <c r="R129" s="6">
        <v>103000</v>
      </c>
    </row>
    <row r="130" spans="1:18" x14ac:dyDescent="0.35">
      <c r="A130" s="12">
        <v>42858</v>
      </c>
      <c r="B130" s="1">
        <v>914.86</v>
      </c>
      <c r="C130" s="1">
        <v>928.1</v>
      </c>
      <c r="D130" s="1">
        <v>912.54</v>
      </c>
      <c r="E130" s="1">
        <v>927.04</v>
      </c>
      <c r="F130" s="1">
        <v>1499532</v>
      </c>
      <c r="G130" s="6">
        <f t="shared" si="9"/>
        <v>942.96142857142866</v>
      </c>
      <c r="H130" s="6">
        <f t="shared" si="5"/>
        <v>951.47</v>
      </c>
      <c r="I130" s="6">
        <f t="shared" si="6"/>
        <v>912.54</v>
      </c>
      <c r="J130" s="6">
        <f t="shared" si="7"/>
        <v>37.246339583868419</v>
      </c>
      <c r="K130" s="6">
        <f t="shared" si="8"/>
        <v>30.11158871093912</v>
      </c>
      <c r="L130" s="4" t="str">
        <f>IF(AND(E130&gt;G130, J130&gt;'P&amp;L'!$C$23, COUNTIF($L$4:L129, "Long")=COUNTIF($N$4:N129, "Close")), "Long", "")</f>
        <v/>
      </c>
      <c r="M130" s="4" t="str">
        <f>IF(L130="Long", E130*'P&amp;L'!$C$21,"")</f>
        <v/>
      </c>
      <c r="N130" s="4" t="str">
        <f>IF(AND(J130&gt;'P&amp;L'!$C$24, COUNTIF($L$4:L129, "Long") &gt; COUNTIF($N$4:N129, "Close")), "Close", "")</f>
        <v/>
      </c>
      <c r="O130" s="5" t="str">
        <f>IF(AND(E130&lt;G130, J130&lt;'P&amp;L'!$C$24, J129&gt;'P&amp;L'!$C$24, COUNTIF($O$4:O129, "Short")=COUNTIF($Q$4:Q129, "Close")), "Short", "")</f>
        <v/>
      </c>
      <c r="P130" s="5" t="str">
        <f>IF(O130="Short", E130*'P&amp;L'!$C$21, "")</f>
        <v/>
      </c>
      <c r="Q130" s="5" t="str">
        <f>IF(AND(J130&gt;'P&amp;L'!$C$23, COUNTIF($O$4:O129, "Short") &gt; COUNTIF($Q$4:Q129, "Close")), "Close", "")</f>
        <v/>
      </c>
      <c r="R130" s="6">
        <v>103000</v>
      </c>
    </row>
    <row r="131" spans="1:18" x14ac:dyDescent="0.35">
      <c r="A131" s="12">
        <v>42857</v>
      </c>
      <c r="B131" s="1">
        <v>909.62</v>
      </c>
      <c r="C131" s="1">
        <v>920.77</v>
      </c>
      <c r="D131" s="1">
        <v>909.45</v>
      </c>
      <c r="E131" s="1">
        <v>916.44</v>
      </c>
      <c r="F131" s="1">
        <v>1587219</v>
      </c>
      <c r="G131" s="6">
        <f t="shared" si="9"/>
        <v>940.55619047619052</v>
      </c>
      <c r="H131" s="6">
        <f t="shared" si="5"/>
        <v>943.11</v>
      </c>
      <c r="I131" s="6">
        <f t="shared" si="6"/>
        <v>909.45</v>
      </c>
      <c r="J131" s="6">
        <f t="shared" si="7"/>
        <v>20.766488413547286</v>
      </c>
      <c r="K131" s="6">
        <f t="shared" si="8"/>
        <v>31.534271488538621</v>
      </c>
      <c r="L131" s="4" t="str">
        <f>IF(AND(E131&gt;G131, J131&gt;'P&amp;L'!$C$23, COUNTIF($L$4:L130, "Long")=COUNTIF($N$4:N130, "Close")), "Long", "")</f>
        <v/>
      </c>
      <c r="M131" s="4" t="str">
        <f>IF(L131="Long", E131*'P&amp;L'!$C$21,"")</f>
        <v/>
      </c>
      <c r="N131" s="4" t="str">
        <f>IF(AND(J131&gt;'P&amp;L'!$C$24, COUNTIF($L$4:L130, "Long") &gt; COUNTIF($N$4:N130, "Close")), "Close", "")</f>
        <v/>
      </c>
      <c r="O131" s="5" t="str">
        <f>IF(AND(E131&lt;G131, J131&lt;'P&amp;L'!$C$24, J130&gt;'P&amp;L'!$C$24, COUNTIF($O$4:O130, "Short")=COUNTIF($Q$4:Q130, "Close")), "Short", "")</f>
        <v/>
      </c>
      <c r="P131" s="5" t="str">
        <f>IF(O131="Short", E131*'P&amp;L'!$C$21, "")</f>
        <v/>
      </c>
      <c r="Q131" s="5" t="str">
        <f>IF(AND(J131&gt;'P&amp;L'!$C$23, COUNTIF($O$4:O130, "Short") &gt; COUNTIF($Q$4:Q130, "Close")), "Close", "")</f>
        <v/>
      </c>
      <c r="R131" s="6">
        <v>103000</v>
      </c>
    </row>
    <row r="132" spans="1:18" x14ac:dyDescent="0.35">
      <c r="A132" s="12">
        <v>42856</v>
      </c>
      <c r="B132" s="1">
        <v>901.94</v>
      </c>
      <c r="C132" s="1">
        <v>915.68</v>
      </c>
      <c r="D132" s="1">
        <v>901.45</v>
      </c>
      <c r="E132" s="1">
        <v>912.57</v>
      </c>
      <c r="F132" s="1">
        <v>2115993</v>
      </c>
      <c r="G132" s="6">
        <f t="shared" si="9"/>
        <v>938.0661904761904</v>
      </c>
      <c r="H132" s="6">
        <f t="shared" si="5"/>
        <v>943.11</v>
      </c>
      <c r="I132" s="6">
        <f t="shared" si="6"/>
        <v>901.45</v>
      </c>
      <c r="J132" s="6">
        <f t="shared" si="7"/>
        <v>26.692270763322163</v>
      </c>
      <c r="K132" s="6">
        <f t="shared" si="8"/>
        <v>28.235032920245956</v>
      </c>
      <c r="L132" s="4" t="str">
        <f>IF(AND(E132&gt;G132, J132&gt;'P&amp;L'!$C$23, COUNTIF($L$4:L131, "Long")=COUNTIF($N$4:N131, "Close")), "Long", "")</f>
        <v/>
      </c>
      <c r="M132" s="4" t="str">
        <f>IF(L132="Long", E132*'P&amp;L'!$C$21,"")</f>
        <v/>
      </c>
      <c r="N132" s="4" t="str">
        <f>IF(AND(J132&gt;'P&amp;L'!$C$24, COUNTIF($L$4:L131, "Long") &gt; COUNTIF($N$4:N131, "Close")), "Close", "")</f>
        <v/>
      </c>
      <c r="O132" s="5" t="str">
        <f>IF(AND(E132&lt;G132, J132&lt;'P&amp;L'!$C$24, J131&gt;'P&amp;L'!$C$24, COUNTIF($O$4:O131, "Short")=COUNTIF($Q$4:Q131, "Close")), "Short", "")</f>
        <v/>
      </c>
      <c r="P132" s="5" t="str">
        <f>IF(O132="Short", E132*'P&amp;L'!$C$21, "")</f>
        <v/>
      </c>
      <c r="Q132" s="5" t="str">
        <f>IF(AND(J132&gt;'P&amp;L'!$C$23, COUNTIF($O$4:O131, "Short") &gt; COUNTIF($Q$4:Q131, "Close")), "Close", "")</f>
        <v/>
      </c>
      <c r="R132" s="6">
        <v>103000</v>
      </c>
    </row>
    <row r="133" spans="1:18" x14ac:dyDescent="0.35">
      <c r="A133" s="12">
        <v>42853</v>
      </c>
      <c r="B133" s="1">
        <v>910.66</v>
      </c>
      <c r="C133" s="1">
        <v>916.85</v>
      </c>
      <c r="D133" s="1">
        <v>905.77</v>
      </c>
      <c r="E133" s="1">
        <v>905.96</v>
      </c>
      <c r="F133" s="1">
        <v>3276255</v>
      </c>
      <c r="G133" s="6">
        <f t="shared" si="9"/>
        <v>934.73666666666657</v>
      </c>
      <c r="H133" s="6">
        <f t="shared" si="5"/>
        <v>943.11</v>
      </c>
      <c r="I133" s="6">
        <f t="shared" si="6"/>
        <v>901.45</v>
      </c>
      <c r="J133" s="6">
        <f t="shared" si="7"/>
        <v>10.825732117138728</v>
      </c>
      <c r="K133" s="6">
        <f t="shared" si="8"/>
        <v>19.428163764669392</v>
      </c>
      <c r="L133" s="4" t="str">
        <f>IF(AND(E133&gt;G133, J133&gt;'P&amp;L'!$C$23, COUNTIF($L$4:L132, "Long")=COUNTIF($N$4:N132, "Close")), "Long", "")</f>
        <v/>
      </c>
      <c r="M133" s="4" t="str">
        <f>IF(L133="Long", E133*'P&amp;L'!$C$21,"")</f>
        <v/>
      </c>
      <c r="N133" s="4" t="str">
        <f>IF(AND(J133&gt;'P&amp;L'!$C$24, COUNTIF($L$4:L132, "Long") &gt; COUNTIF($N$4:N132, "Close")), "Close", "")</f>
        <v/>
      </c>
      <c r="O133" s="5" t="str">
        <f>IF(AND(E133&lt;G133, J133&lt;'P&amp;L'!$C$24, J132&gt;'P&amp;L'!$C$24, COUNTIF($O$4:O132, "Short")=COUNTIF($Q$4:Q132, "Close")), "Short", "")</f>
        <v/>
      </c>
      <c r="P133" s="5" t="str">
        <f>IF(O133="Short", E133*'P&amp;L'!$C$21, "")</f>
        <v/>
      </c>
      <c r="Q133" s="5" t="str">
        <f>IF(AND(J133&gt;'P&amp;L'!$C$23, COUNTIF($O$4:O132, "Short") &gt; COUNTIF($Q$4:Q132, "Close")), "Close", "")</f>
        <v/>
      </c>
      <c r="R133" s="6">
        <v>103000</v>
      </c>
    </row>
    <row r="134" spans="1:18" x14ac:dyDescent="0.35">
      <c r="A134" s="12">
        <v>42852</v>
      </c>
      <c r="B134" s="1">
        <v>873.6</v>
      </c>
      <c r="C134" s="1">
        <v>875.4</v>
      </c>
      <c r="D134" s="1">
        <v>870.38</v>
      </c>
      <c r="E134" s="1">
        <v>874.25</v>
      </c>
      <c r="F134" s="1">
        <v>2026816</v>
      </c>
      <c r="G134" s="6">
        <f t="shared" si="9"/>
        <v>930.10714285714266</v>
      </c>
      <c r="H134" s="6">
        <f t="shared" si="5"/>
        <v>943.11</v>
      </c>
      <c r="I134" s="6">
        <f t="shared" si="6"/>
        <v>870.38</v>
      </c>
      <c r="J134" s="6">
        <f t="shared" si="7"/>
        <v>5.321050460607732</v>
      </c>
      <c r="K134" s="6">
        <f t="shared" si="8"/>
        <v>14.279684447022873</v>
      </c>
      <c r="L134" s="4" t="str">
        <f>IF(AND(E134&gt;G134, J134&gt;'P&amp;L'!$C$23, COUNTIF($L$4:L133, "Long")=COUNTIF($N$4:N133, "Close")), "Long", "")</f>
        <v/>
      </c>
      <c r="M134" s="4" t="str">
        <f>IF(L134="Long", E134*'P&amp;L'!$C$21,"")</f>
        <v/>
      </c>
      <c r="N134" s="4" t="str">
        <f>IF(AND(J134&gt;'P&amp;L'!$C$24, COUNTIF($L$4:L133, "Long") &gt; COUNTIF($N$4:N133, "Close")), "Close", "")</f>
        <v/>
      </c>
      <c r="O134" s="5" t="str">
        <f>IF(AND(E134&lt;G134, J134&lt;'P&amp;L'!$C$24, J133&gt;'P&amp;L'!$C$24, COUNTIF($O$4:O133, "Short")=COUNTIF($Q$4:Q133, "Close")), "Short", "")</f>
        <v/>
      </c>
      <c r="P134" s="5" t="str">
        <f>IF(O134="Short", E134*'P&amp;L'!$C$21, "")</f>
        <v/>
      </c>
      <c r="Q134" s="5" t="str">
        <f>IF(AND(J134&gt;'P&amp;L'!$C$23, COUNTIF($O$4:O133, "Short") &gt; COUNTIF($Q$4:Q133, "Close")), "Close", "")</f>
        <v/>
      </c>
      <c r="R134" s="6">
        <v>103000</v>
      </c>
    </row>
    <row r="135" spans="1:18" x14ac:dyDescent="0.35">
      <c r="A135" s="12">
        <v>42851</v>
      </c>
      <c r="B135" s="1">
        <v>874.23</v>
      </c>
      <c r="C135" s="1">
        <v>876.05</v>
      </c>
      <c r="D135" s="1">
        <v>867.75</v>
      </c>
      <c r="E135" s="1">
        <v>871.73</v>
      </c>
      <c r="F135" s="1">
        <v>1237167</v>
      </c>
      <c r="G135" s="6">
        <f t="shared" si="9"/>
        <v>925.44952380952373</v>
      </c>
      <c r="H135" s="6">
        <f t="shared" si="5"/>
        <v>943.11</v>
      </c>
      <c r="I135" s="6">
        <f t="shared" si="6"/>
        <v>867.75</v>
      </c>
      <c r="J135" s="6">
        <f t="shared" si="7"/>
        <v>5.281316348195352</v>
      </c>
      <c r="K135" s="6">
        <f t="shared" si="8"/>
        <v>7.1426996419806033</v>
      </c>
      <c r="L135" s="4" t="str">
        <f>IF(AND(E135&gt;G135, J135&gt;'P&amp;L'!$C$23, COUNTIF($L$4:L134, "Long")=COUNTIF($N$4:N134, "Close")), "Long", "")</f>
        <v/>
      </c>
      <c r="M135" s="4" t="str">
        <f>IF(L135="Long", E135*'P&amp;L'!$C$21,"")</f>
        <v/>
      </c>
      <c r="N135" s="4" t="str">
        <f>IF(AND(J135&gt;'P&amp;L'!$C$24, COUNTIF($L$4:L134, "Long") &gt; COUNTIF($N$4:N134, "Close")), "Close", "")</f>
        <v/>
      </c>
      <c r="O135" s="5" t="str">
        <f>IF(AND(E135&lt;G135, J135&lt;'P&amp;L'!$C$24, J134&gt;'P&amp;L'!$C$24, COUNTIF($O$4:O134, "Short")=COUNTIF($Q$4:Q134, "Close")), "Short", "")</f>
        <v/>
      </c>
      <c r="P135" s="5" t="str">
        <f>IF(O135="Short", E135*'P&amp;L'!$C$21, "")</f>
        <v/>
      </c>
      <c r="Q135" s="5" t="str">
        <f>IF(AND(J135&gt;'P&amp;L'!$C$23, COUNTIF($O$4:O134, "Short") &gt; COUNTIF($Q$4:Q134, "Close")), "Close", "")</f>
        <v/>
      </c>
      <c r="R135" s="6">
        <v>103000</v>
      </c>
    </row>
    <row r="136" spans="1:18" x14ac:dyDescent="0.35">
      <c r="A136" s="12">
        <v>42850</v>
      </c>
      <c r="B136" s="1">
        <v>865</v>
      </c>
      <c r="C136" s="1">
        <v>875</v>
      </c>
      <c r="D136" s="1">
        <v>862.81</v>
      </c>
      <c r="E136" s="1">
        <v>872.3</v>
      </c>
      <c r="F136" s="1">
        <v>1671972</v>
      </c>
      <c r="G136" s="6">
        <f t="shared" si="9"/>
        <v>921.51333333333332</v>
      </c>
      <c r="H136" s="6">
        <f t="shared" si="5"/>
        <v>938.25</v>
      </c>
      <c r="I136" s="6">
        <f t="shared" si="6"/>
        <v>862.81</v>
      </c>
      <c r="J136" s="6">
        <f t="shared" si="7"/>
        <v>12.579533404029695</v>
      </c>
      <c r="K136" s="6">
        <f t="shared" si="8"/>
        <v>7.7273000709442599</v>
      </c>
      <c r="L136" s="4" t="str">
        <f>IF(AND(E136&gt;G136, J136&gt;'P&amp;L'!$C$23, COUNTIF($L$4:L135, "Long")=COUNTIF($N$4:N135, "Close")), "Long", "")</f>
        <v/>
      </c>
      <c r="M136" s="4" t="str">
        <f>IF(L136="Long", E136*'P&amp;L'!$C$21,"")</f>
        <v/>
      </c>
      <c r="N136" s="4" t="str">
        <f>IF(AND(J136&gt;'P&amp;L'!$C$24, COUNTIF($L$4:L135, "Long") &gt; COUNTIF($N$4:N135, "Close")), "Close", "")</f>
        <v/>
      </c>
      <c r="O136" s="5" t="str">
        <f>IF(AND(E136&lt;G136, J136&lt;'P&amp;L'!$C$24, J135&gt;'P&amp;L'!$C$24, COUNTIF($O$4:O135, "Short")=COUNTIF($Q$4:Q135, "Close")), "Short", "")</f>
        <v/>
      </c>
      <c r="P136" s="5" t="str">
        <f>IF(O136="Short", E136*'P&amp;L'!$C$21, "")</f>
        <v/>
      </c>
      <c r="Q136" s="5" t="str">
        <f>IF(AND(J136&gt;'P&amp;L'!$C$23, COUNTIF($O$4:O135, "Short") &gt; COUNTIF($Q$4:Q135, "Close")), "Close", "")</f>
        <v/>
      </c>
      <c r="R136" s="6">
        <v>103000</v>
      </c>
    </row>
    <row r="137" spans="1:18" x14ac:dyDescent="0.35">
      <c r="A137" s="12">
        <v>42849</v>
      </c>
      <c r="B137" s="1">
        <v>851.2</v>
      </c>
      <c r="C137" s="1">
        <v>863.45</v>
      </c>
      <c r="D137" s="1">
        <v>849.86</v>
      </c>
      <c r="E137" s="1">
        <v>862.76</v>
      </c>
      <c r="F137" s="1">
        <v>1372541</v>
      </c>
      <c r="G137" s="6">
        <f t="shared" si="9"/>
        <v>917.41523809523801</v>
      </c>
      <c r="H137" s="6">
        <f t="shared" si="5"/>
        <v>937.5</v>
      </c>
      <c r="I137" s="6">
        <f t="shared" si="6"/>
        <v>849.86</v>
      </c>
      <c r="J137" s="6">
        <f t="shared" si="7"/>
        <v>14.719306252852554</v>
      </c>
      <c r="K137" s="6">
        <f t="shared" si="8"/>
        <v>10.860052001692532</v>
      </c>
      <c r="L137" s="4" t="str">
        <f>IF(AND(E137&gt;G137, J137&gt;'P&amp;L'!$C$23, COUNTIF($L$4:L136, "Long")=COUNTIF($N$4:N136, "Close")), "Long", "")</f>
        <v/>
      </c>
      <c r="M137" s="4" t="str">
        <f>IF(L137="Long", E137*'P&amp;L'!$C$21,"")</f>
        <v/>
      </c>
      <c r="N137" s="4" t="str">
        <f>IF(AND(J137&gt;'P&amp;L'!$C$24, COUNTIF($L$4:L136, "Long") &gt; COUNTIF($N$4:N136, "Close")), "Close", "")</f>
        <v/>
      </c>
      <c r="O137" s="5" t="str">
        <f>IF(AND(E137&lt;G137, J137&lt;'P&amp;L'!$C$24, J136&gt;'P&amp;L'!$C$24, COUNTIF($O$4:O136, "Short")=COUNTIF($Q$4:Q136, "Close")), "Short", "")</f>
        <v/>
      </c>
      <c r="P137" s="5" t="str">
        <f>IF(O137="Short", E137*'P&amp;L'!$C$21, "")</f>
        <v/>
      </c>
      <c r="Q137" s="5" t="str">
        <f>IF(AND(J137&gt;'P&amp;L'!$C$23, COUNTIF($O$4:O136, "Short") &gt; COUNTIF($Q$4:Q136, "Close")), "Close", "")</f>
        <v/>
      </c>
      <c r="R137" s="6">
        <v>103000</v>
      </c>
    </row>
    <row r="138" spans="1:18" x14ac:dyDescent="0.35">
      <c r="A138" s="12">
        <v>42846</v>
      </c>
      <c r="B138" s="1">
        <v>842.88</v>
      </c>
      <c r="C138" s="1">
        <v>843.88</v>
      </c>
      <c r="D138" s="1">
        <v>840.6</v>
      </c>
      <c r="E138" s="1">
        <v>843.19</v>
      </c>
      <c r="F138" s="1">
        <v>1323583</v>
      </c>
      <c r="G138" s="6">
        <f t="shared" si="9"/>
        <v>912.71666666666647</v>
      </c>
      <c r="H138" s="6">
        <f t="shared" si="5"/>
        <v>937.5</v>
      </c>
      <c r="I138" s="6">
        <f t="shared" si="6"/>
        <v>840.6</v>
      </c>
      <c r="J138" s="6">
        <f t="shared" si="7"/>
        <v>2.6728586171310962</v>
      </c>
      <c r="K138" s="6">
        <f t="shared" si="8"/>
        <v>9.990566091337783</v>
      </c>
      <c r="L138" s="4" t="str">
        <f>IF(AND(E138&gt;G138, J138&gt;'P&amp;L'!$C$23, COUNTIF($L$4:L137, "Long")=COUNTIF($N$4:N137, "Close")), "Long", "")</f>
        <v/>
      </c>
      <c r="M138" s="4" t="str">
        <f>IF(L138="Long", E138*'P&amp;L'!$C$21,"")</f>
        <v/>
      </c>
      <c r="N138" s="4" t="str">
        <f>IF(AND(J138&gt;'P&amp;L'!$C$24, COUNTIF($L$4:L137, "Long") &gt; COUNTIF($N$4:N137, "Close")), "Close", "")</f>
        <v/>
      </c>
      <c r="O138" s="5" t="str">
        <f>IF(AND(E138&lt;G138, J138&lt;'P&amp;L'!$C$24, J137&gt;'P&amp;L'!$C$24, COUNTIF($O$4:O137, "Short")=COUNTIF($Q$4:Q137, "Close")), "Short", "")</f>
        <v/>
      </c>
      <c r="P138" s="5" t="str">
        <f>IF(O138="Short", E138*'P&amp;L'!$C$21, "")</f>
        <v/>
      </c>
      <c r="Q138" s="5" t="str">
        <f>IF(AND(J138&gt;'P&amp;L'!$C$23, COUNTIF($O$4:O137, "Short") &gt; COUNTIF($Q$4:Q137, "Close")), "Close", "")</f>
        <v/>
      </c>
      <c r="R138" s="6">
        <v>103000</v>
      </c>
    </row>
    <row r="139" spans="1:18" x14ac:dyDescent="0.35">
      <c r="A139" s="12">
        <v>42845</v>
      </c>
      <c r="B139" s="1">
        <v>841.44</v>
      </c>
      <c r="C139" s="1">
        <v>845.2</v>
      </c>
      <c r="D139" s="1">
        <v>839.32</v>
      </c>
      <c r="E139" s="1">
        <v>841.65</v>
      </c>
      <c r="F139" s="1">
        <v>959031</v>
      </c>
      <c r="G139" s="6">
        <f t="shared" si="9"/>
        <v>908.31857142857132</v>
      </c>
      <c r="H139" s="6">
        <f t="shared" si="5"/>
        <v>937.5</v>
      </c>
      <c r="I139" s="6">
        <f t="shared" si="6"/>
        <v>839.32</v>
      </c>
      <c r="J139" s="6">
        <f t="shared" si="7"/>
        <v>2.3731920961498556</v>
      </c>
      <c r="K139" s="6">
        <f t="shared" si="8"/>
        <v>6.5884523220445033</v>
      </c>
      <c r="L139" s="4" t="str">
        <f>IF(AND(E139&gt;G139, J139&gt;'P&amp;L'!$C$23, COUNTIF($L$4:L138, "Long")=COUNTIF($N$4:N138, "Close")), "Long", "")</f>
        <v/>
      </c>
      <c r="M139" s="4" t="str">
        <f>IF(L139="Long", E139*'P&amp;L'!$C$21,"")</f>
        <v/>
      </c>
      <c r="N139" s="4" t="str">
        <f>IF(AND(J139&gt;'P&amp;L'!$C$24, COUNTIF($L$4:L138, "Long") &gt; COUNTIF($N$4:N138, "Close")), "Close", "")</f>
        <v/>
      </c>
      <c r="O139" s="5" t="str">
        <f>IF(AND(E139&lt;G139, J139&lt;'P&amp;L'!$C$24, J138&gt;'P&amp;L'!$C$24, COUNTIF($O$4:O138, "Short")=COUNTIF($Q$4:Q138, "Close")), "Short", "")</f>
        <v/>
      </c>
      <c r="P139" s="5" t="str">
        <f>IF(O139="Short", E139*'P&amp;L'!$C$21, "")</f>
        <v/>
      </c>
      <c r="Q139" s="5" t="str">
        <f>IF(AND(J139&gt;'P&amp;L'!$C$23, COUNTIF($O$4:O138, "Short") &gt; COUNTIF($Q$4:Q138, "Close")), "Close", "")</f>
        <v/>
      </c>
      <c r="R139" s="6">
        <v>103000</v>
      </c>
    </row>
    <row r="140" spans="1:18" x14ac:dyDescent="0.35">
      <c r="A140" s="12">
        <v>42844</v>
      </c>
      <c r="B140" s="1">
        <v>839.79</v>
      </c>
      <c r="C140" s="1">
        <v>842.22</v>
      </c>
      <c r="D140" s="1">
        <v>836.29</v>
      </c>
      <c r="E140" s="1">
        <v>838.21</v>
      </c>
      <c r="F140" s="1">
        <v>954330</v>
      </c>
      <c r="G140" s="6">
        <f t="shared" si="9"/>
        <v>903.93619047619029</v>
      </c>
      <c r="H140" s="6">
        <f t="shared" si="5"/>
        <v>937.5</v>
      </c>
      <c r="I140" s="6">
        <f t="shared" si="6"/>
        <v>836.29</v>
      </c>
      <c r="J140" s="6">
        <f t="shared" si="7"/>
        <v>1.8970457464678114</v>
      </c>
      <c r="K140" s="6">
        <f t="shared" si="8"/>
        <v>2.3143654865829211</v>
      </c>
      <c r="L140" s="4" t="str">
        <f>IF(AND(E140&gt;G140, J140&gt;'P&amp;L'!$C$23, COUNTIF($L$4:L139, "Long")=COUNTIF($N$4:N139, "Close")), "Long", "")</f>
        <v/>
      </c>
      <c r="M140" s="4" t="str">
        <f>IF(L140="Long", E140*'P&amp;L'!$C$21,"")</f>
        <v/>
      </c>
      <c r="N140" s="4" t="str">
        <f>IF(AND(J140&gt;'P&amp;L'!$C$24, COUNTIF($L$4:L139, "Long") &gt; COUNTIF($N$4:N139, "Close")), "Close", "")</f>
        <v/>
      </c>
      <c r="O140" s="5" t="str">
        <f>IF(AND(E140&lt;G140, J140&lt;'P&amp;L'!$C$24, J139&gt;'P&amp;L'!$C$24, COUNTIF($O$4:O139, "Short")=COUNTIF($Q$4:Q139, "Close")), "Short", "")</f>
        <v/>
      </c>
      <c r="P140" s="5" t="str">
        <f>IF(O140="Short", E140*'P&amp;L'!$C$21, "")</f>
        <v/>
      </c>
      <c r="Q140" s="5" t="str">
        <f>IF(AND(J140&gt;'P&amp;L'!$C$23, COUNTIF($O$4:O139, "Short") &gt; COUNTIF($Q$4:Q139, "Close")), "Close", "")</f>
        <v/>
      </c>
      <c r="R140" s="6">
        <v>103000</v>
      </c>
    </row>
    <row r="141" spans="1:18" x14ac:dyDescent="0.35">
      <c r="A141" s="12">
        <v>42843</v>
      </c>
      <c r="B141" s="1">
        <v>834.22</v>
      </c>
      <c r="C141" s="1">
        <v>838.93</v>
      </c>
      <c r="D141" s="1">
        <v>832.71</v>
      </c>
      <c r="E141" s="1">
        <v>836.82</v>
      </c>
      <c r="F141" s="1">
        <v>836722</v>
      </c>
      <c r="G141" s="6">
        <f t="shared" si="9"/>
        <v>899.99333333333334</v>
      </c>
      <c r="H141" s="6">
        <f t="shared" si="5"/>
        <v>936.92</v>
      </c>
      <c r="I141" s="6">
        <f t="shared" si="6"/>
        <v>832.71</v>
      </c>
      <c r="J141" s="6">
        <f t="shared" si="7"/>
        <v>3.943959312925839</v>
      </c>
      <c r="K141" s="6">
        <f t="shared" si="8"/>
        <v>2.7380657185145019</v>
      </c>
      <c r="L141" s="4" t="str">
        <f>IF(AND(E141&gt;G141, J141&gt;'P&amp;L'!$C$23, COUNTIF($L$4:L140, "Long")=COUNTIF($N$4:N140, "Close")), "Long", "")</f>
        <v/>
      </c>
      <c r="M141" s="4" t="str">
        <f>IF(L141="Long", E141*'P&amp;L'!$C$21,"")</f>
        <v/>
      </c>
      <c r="N141" s="4" t="str">
        <f>IF(AND(J141&gt;'P&amp;L'!$C$24, COUNTIF($L$4:L140, "Long") &gt; COUNTIF($N$4:N140, "Close")), "Close", "")</f>
        <v/>
      </c>
      <c r="O141" s="5" t="str">
        <f>IF(AND(E141&lt;G141, J141&lt;'P&amp;L'!$C$24, J140&gt;'P&amp;L'!$C$24, COUNTIF($O$4:O140, "Short")=COUNTIF($Q$4:Q140, "Close")), "Short", "")</f>
        <v/>
      </c>
      <c r="P141" s="5" t="str">
        <f>IF(O141="Short", E141*'P&amp;L'!$C$21, "")</f>
        <v/>
      </c>
      <c r="Q141" s="5" t="str">
        <f>IF(AND(J141&gt;'P&amp;L'!$C$23, COUNTIF($O$4:O140, "Short") &gt; COUNTIF($Q$4:Q140, "Close")), "Close", "")</f>
        <v/>
      </c>
      <c r="R141" s="6">
        <v>103000</v>
      </c>
    </row>
    <row r="142" spans="1:18" x14ac:dyDescent="0.35">
      <c r="A142" s="12">
        <v>42842</v>
      </c>
      <c r="B142" s="1">
        <v>825.01</v>
      </c>
      <c r="C142" s="1">
        <v>837.75</v>
      </c>
      <c r="D142" s="1">
        <v>824.47</v>
      </c>
      <c r="E142" s="1">
        <v>837.17</v>
      </c>
      <c r="F142" s="1">
        <v>895015</v>
      </c>
      <c r="G142" s="6">
        <f t="shared" si="9"/>
        <v>894.95380952380947</v>
      </c>
      <c r="H142" s="6">
        <f t="shared" si="5"/>
        <v>935.93</v>
      </c>
      <c r="I142" s="6">
        <f t="shared" si="6"/>
        <v>824.47</v>
      </c>
      <c r="J142" s="6">
        <f t="shared" si="7"/>
        <v>11.394222142472582</v>
      </c>
      <c r="K142" s="6">
        <f t="shared" si="8"/>
        <v>5.7450757339554102</v>
      </c>
      <c r="L142" s="4" t="str">
        <f>IF(AND(E142&gt;G142, J142&gt;'P&amp;L'!$C$23, COUNTIF($L$4:L141, "Long")=COUNTIF($N$4:N141, "Close")), "Long", "")</f>
        <v/>
      </c>
      <c r="M142" s="4" t="str">
        <f>IF(L142="Long", E142*'P&amp;L'!$C$21,"")</f>
        <v/>
      </c>
      <c r="N142" s="4" t="str">
        <f>IF(AND(J142&gt;'P&amp;L'!$C$24, COUNTIF($L$4:L141, "Long") &gt; COUNTIF($N$4:N141, "Close")), "Close", "")</f>
        <v/>
      </c>
      <c r="O142" s="5" t="str">
        <f>IF(AND(E142&lt;G142, J142&lt;'P&amp;L'!$C$24, J141&gt;'P&amp;L'!$C$24, COUNTIF($O$4:O141, "Short")=COUNTIF($Q$4:Q141, "Close")), "Short", "")</f>
        <v/>
      </c>
      <c r="P142" s="5" t="str">
        <f>IF(O142="Short", E142*'P&amp;L'!$C$21, "")</f>
        <v/>
      </c>
      <c r="Q142" s="5" t="str">
        <f>IF(AND(J142&gt;'P&amp;L'!$C$23, COUNTIF($O$4:O141, "Short") &gt; COUNTIF($Q$4:Q141, "Close")), "Close", "")</f>
        <v/>
      </c>
      <c r="R142" s="6">
        <v>103000</v>
      </c>
    </row>
    <row r="143" spans="1:18" x14ac:dyDescent="0.35">
      <c r="A143" s="12">
        <v>42838</v>
      </c>
      <c r="B143" s="1">
        <v>822.14</v>
      </c>
      <c r="C143" s="1">
        <v>826.38</v>
      </c>
      <c r="D143" s="1">
        <v>821.44</v>
      </c>
      <c r="E143" s="1">
        <v>823.56</v>
      </c>
      <c r="F143" s="1">
        <v>1122362</v>
      </c>
      <c r="G143" s="6">
        <f t="shared" si="9"/>
        <v>889.54809523809513</v>
      </c>
      <c r="H143" s="6">
        <f t="shared" si="5"/>
        <v>935.93</v>
      </c>
      <c r="I143" s="6">
        <f t="shared" si="6"/>
        <v>821.44</v>
      </c>
      <c r="J143" s="6">
        <f t="shared" si="7"/>
        <v>1.8516901039391149</v>
      </c>
      <c r="K143" s="6">
        <f t="shared" si="8"/>
        <v>5.7299571864458452</v>
      </c>
      <c r="L143" s="4" t="str">
        <f>IF(AND(E143&gt;G143, J143&gt;'P&amp;L'!$C$23, COUNTIF($L$4:L142, "Long")=COUNTIF($N$4:N142, "Close")), "Long", "")</f>
        <v/>
      </c>
      <c r="M143" s="4" t="str">
        <f>IF(L143="Long", E143*'P&amp;L'!$C$21,"")</f>
        <v/>
      </c>
      <c r="N143" s="4" t="str">
        <f>IF(AND(J143&gt;'P&amp;L'!$C$24, COUNTIF($L$4:L142, "Long") &gt; COUNTIF($N$4:N142, "Close")), "Close", "")</f>
        <v/>
      </c>
      <c r="O143" s="5" t="str">
        <f>IF(AND(E143&lt;G143, J143&lt;'P&amp;L'!$C$24, J142&gt;'P&amp;L'!$C$24, COUNTIF($O$4:O142, "Short")=COUNTIF($Q$4:Q142, "Close")), "Short", "")</f>
        <v/>
      </c>
      <c r="P143" s="5" t="str">
        <f>IF(O143="Short", E143*'P&amp;L'!$C$21, "")</f>
        <v/>
      </c>
      <c r="Q143" s="5" t="str">
        <f>IF(AND(J143&gt;'P&amp;L'!$C$23, COUNTIF($O$4:O142, "Short") &gt; COUNTIF($Q$4:Q142, "Close")), "Close", "")</f>
        <v/>
      </c>
      <c r="R143" s="6">
        <v>103000</v>
      </c>
    </row>
    <row r="144" spans="1:18" x14ac:dyDescent="0.35">
      <c r="A144" s="12">
        <v>42837</v>
      </c>
      <c r="B144" s="1">
        <v>821.93</v>
      </c>
      <c r="C144" s="1">
        <v>826.66</v>
      </c>
      <c r="D144" s="1">
        <v>821.02</v>
      </c>
      <c r="E144" s="1">
        <v>824.32</v>
      </c>
      <c r="F144" s="1">
        <v>900480</v>
      </c>
      <c r="G144" s="6">
        <f t="shared" si="9"/>
        <v>884.41000000000008</v>
      </c>
      <c r="H144" s="6">
        <f t="shared" si="5"/>
        <v>928.1</v>
      </c>
      <c r="I144" s="6">
        <f t="shared" si="6"/>
        <v>821.02</v>
      </c>
      <c r="J144" s="6">
        <f t="shared" si="7"/>
        <v>3.0818079940232228</v>
      </c>
      <c r="K144" s="6">
        <f t="shared" si="8"/>
        <v>5.442573413478307</v>
      </c>
      <c r="L144" s="4" t="str">
        <f>IF(AND(E144&gt;G144, J144&gt;'P&amp;L'!$C$23, COUNTIF($L$4:L143, "Long")=COUNTIF($N$4:N143, "Close")), "Long", "")</f>
        <v/>
      </c>
      <c r="M144" s="4" t="str">
        <f>IF(L144="Long", E144*'P&amp;L'!$C$21,"")</f>
        <v/>
      </c>
      <c r="N144" s="4" t="str">
        <f>IF(AND(J144&gt;'P&amp;L'!$C$24, COUNTIF($L$4:L143, "Long") &gt; COUNTIF($N$4:N143, "Close")), "Close", "")</f>
        <v/>
      </c>
      <c r="O144" s="5" t="str">
        <f>IF(AND(E144&lt;G144, J144&lt;'P&amp;L'!$C$24, J143&gt;'P&amp;L'!$C$24, COUNTIF($O$4:O143, "Short")=COUNTIF($Q$4:Q143, "Close")), "Short", "")</f>
        <v/>
      </c>
      <c r="P144" s="5" t="str">
        <f>IF(O144="Short", E144*'P&amp;L'!$C$21, "")</f>
        <v/>
      </c>
      <c r="Q144" s="5" t="str">
        <f>IF(AND(J144&gt;'P&amp;L'!$C$23, COUNTIF($O$4:O143, "Short") &gt; COUNTIF($Q$4:Q143, "Close")), "Close", "")</f>
        <v/>
      </c>
      <c r="R144" s="6">
        <v>103000</v>
      </c>
    </row>
    <row r="145" spans="1:18" x14ac:dyDescent="0.35">
      <c r="A145" s="12">
        <v>42836</v>
      </c>
      <c r="B145" s="1">
        <v>824.71</v>
      </c>
      <c r="C145" s="1">
        <v>827.43</v>
      </c>
      <c r="D145" s="1">
        <v>817.02</v>
      </c>
      <c r="E145" s="1">
        <v>823.35</v>
      </c>
      <c r="F145" s="1">
        <v>1079732</v>
      </c>
      <c r="G145" s="6">
        <f t="shared" si="9"/>
        <v>879.30285714285696</v>
      </c>
      <c r="H145" s="6">
        <f t="shared" si="5"/>
        <v>920.77</v>
      </c>
      <c r="I145" s="6">
        <f t="shared" si="6"/>
        <v>817.02</v>
      </c>
      <c r="J145" s="6">
        <f t="shared" si="7"/>
        <v>6.1012048192771475</v>
      </c>
      <c r="K145" s="6">
        <f t="shared" si="8"/>
        <v>3.678234305746495</v>
      </c>
      <c r="L145" s="4" t="str">
        <f>IF(AND(E145&gt;G145, J145&gt;'P&amp;L'!$C$23, COUNTIF($L$4:L144, "Long")=COUNTIF($N$4:N144, "Close")), "Long", "")</f>
        <v/>
      </c>
      <c r="M145" s="4" t="str">
        <f>IF(L145="Long", E145*'P&amp;L'!$C$21,"")</f>
        <v/>
      </c>
      <c r="N145" s="4" t="str">
        <f>IF(AND(J145&gt;'P&amp;L'!$C$24, COUNTIF($L$4:L144, "Long") &gt; COUNTIF($N$4:N144, "Close")), "Close", "")</f>
        <v/>
      </c>
      <c r="O145" s="5" t="str">
        <f>IF(AND(E145&lt;G145, J145&lt;'P&amp;L'!$C$24, J144&gt;'P&amp;L'!$C$24, COUNTIF($O$4:O144, "Short")=COUNTIF($Q$4:Q144, "Close")), "Short", "")</f>
        <v/>
      </c>
      <c r="P145" s="5" t="str">
        <f>IF(O145="Short", E145*'P&amp;L'!$C$21, "")</f>
        <v/>
      </c>
      <c r="Q145" s="5" t="str">
        <f>IF(AND(J145&gt;'P&amp;L'!$C$23, COUNTIF($O$4:O144, "Short") &gt; COUNTIF($Q$4:Q144, "Close")), "Close", "")</f>
        <v/>
      </c>
      <c r="R145" s="6">
        <v>103000</v>
      </c>
    </row>
    <row r="146" spans="1:18" x14ac:dyDescent="0.35">
      <c r="A146" s="12">
        <v>42835</v>
      </c>
      <c r="B146" s="1">
        <v>825.39</v>
      </c>
      <c r="C146" s="1">
        <v>829.35</v>
      </c>
      <c r="D146" s="1">
        <v>823.77</v>
      </c>
      <c r="E146" s="1">
        <v>824.73</v>
      </c>
      <c r="F146" s="1">
        <v>978905</v>
      </c>
      <c r="G146" s="6">
        <f t="shared" si="9"/>
        <v>874.34809523809508</v>
      </c>
      <c r="H146" s="6">
        <f t="shared" si="5"/>
        <v>916.85</v>
      </c>
      <c r="I146" s="6">
        <f t="shared" si="6"/>
        <v>817.02</v>
      </c>
      <c r="J146" s="6">
        <f t="shared" si="7"/>
        <v>7.7231293198437676</v>
      </c>
      <c r="K146" s="6">
        <f t="shared" si="8"/>
        <v>5.6353807110480458</v>
      </c>
      <c r="L146" s="4" t="str">
        <f>IF(AND(E146&gt;G146, J146&gt;'P&amp;L'!$C$23, COUNTIF($L$4:L145, "Long")=COUNTIF($N$4:N145, "Close")), "Long", "")</f>
        <v/>
      </c>
      <c r="M146" s="4" t="str">
        <f>IF(L146="Long", E146*'P&amp;L'!$C$21,"")</f>
        <v/>
      </c>
      <c r="N146" s="4" t="str">
        <f>IF(AND(J146&gt;'P&amp;L'!$C$24, COUNTIF($L$4:L145, "Long") &gt; COUNTIF($N$4:N145, "Close")), "Close", "")</f>
        <v/>
      </c>
      <c r="O146" s="5" t="str">
        <f>IF(AND(E146&lt;G146, J146&lt;'P&amp;L'!$C$24, J145&gt;'P&amp;L'!$C$24, COUNTIF($O$4:O145, "Short")=COUNTIF($Q$4:Q145, "Close")), "Short", "")</f>
        <v/>
      </c>
      <c r="P146" s="5" t="str">
        <f>IF(O146="Short", E146*'P&amp;L'!$C$21, "")</f>
        <v/>
      </c>
      <c r="Q146" s="5" t="str">
        <f>IF(AND(J146&gt;'P&amp;L'!$C$23, COUNTIF($O$4:O145, "Short") &gt; COUNTIF($Q$4:Q145, "Close")), "Close", "")</f>
        <v/>
      </c>
      <c r="R146" s="6">
        <v>103000</v>
      </c>
    </row>
    <row r="147" spans="1:18" x14ac:dyDescent="0.35">
      <c r="A147" s="12">
        <v>42832</v>
      </c>
      <c r="B147" s="1">
        <v>827.96</v>
      </c>
      <c r="C147" s="1">
        <v>828.48</v>
      </c>
      <c r="D147" s="1">
        <v>820.51</v>
      </c>
      <c r="E147" s="1">
        <v>824.67</v>
      </c>
      <c r="F147" s="1">
        <v>1057253</v>
      </c>
      <c r="G147" s="6">
        <f t="shared" si="9"/>
        <v>869.22904761904738</v>
      </c>
      <c r="H147" s="6">
        <f t="shared" ref="H147:H210" si="10">MAX(C133:C147)</f>
        <v>916.85</v>
      </c>
      <c r="I147" s="6">
        <f t="shared" ref="I147:I210" si="11">MIN(D133:D147)</f>
        <v>817.02</v>
      </c>
      <c r="J147" s="6">
        <f t="shared" ref="J147:J210" si="12">(E147-I147)/(H147-I147)*100</f>
        <v>7.6630271461484263</v>
      </c>
      <c r="K147" s="6">
        <f t="shared" si="8"/>
        <v>7.1624537617564465</v>
      </c>
      <c r="L147" s="4" t="str">
        <f>IF(AND(E147&gt;G147, J147&gt;'P&amp;L'!$C$23, COUNTIF($L$4:L146, "Long")=COUNTIF($N$4:N146, "Close")), "Long", "")</f>
        <v/>
      </c>
      <c r="M147" s="4" t="str">
        <f>IF(L147="Long", E147*'P&amp;L'!$C$21,"")</f>
        <v/>
      </c>
      <c r="N147" s="4" t="str">
        <f>IF(AND(J147&gt;'P&amp;L'!$C$24, COUNTIF($L$4:L146, "Long") &gt; COUNTIF($N$4:N146, "Close")), "Close", "")</f>
        <v/>
      </c>
      <c r="O147" s="5" t="str">
        <f>IF(AND(E147&lt;G147, J147&lt;'P&amp;L'!$C$24, J146&gt;'P&amp;L'!$C$24, COUNTIF($O$4:O146, "Short")=COUNTIF($Q$4:Q146, "Close")), "Short", "")</f>
        <v/>
      </c>
      <c r="P147" s="5" t="str">
        <f>IF(O147="Short", E147*'P&amp;L'!$C$21, "")</f>
        <v/>
      </c>
      <c r="Q147" s="5" t="str">
        <f>IF(AND(J147&gt;'P&amp;L'!$C$23, COUNTIF($O$4:O146, "Short") &gt; COUNTIF($Q$4:Q146, "Close")), "Close", "")</f>
        <v/>
      </c>
      <c r="R147" s="6">
        <v>103000</v>
      </c>
    </row>
    <row r="148" spans="1:18" x14ac:dyDescent="0.35">
      <c r="A148" s="12">
        <v>42831</v>
      </c>
      <c r="B148" s="1">
        <v>832.4</v>
      </c>
      <c r="C148" s="1">
        <v>836.39</v>
      </c>
      <c r="D148" s="1">
        <v>826.46</v>
      </c>
      <c r="E148" s="1">
        <v>827.88</v>
      </c>
      <c r="F148" s="1">
        <v>1254433</v>
      </c>
      <c r="G148" s="6">
        <f t="shared" si="9"/>
        <v>864.16142857142859</v>
      </c>
      <c r="H148" s="6">
        <f t="shared" si="10"/>
        <v>876.05</v>
      </c>
      <c r="I148" s="6">
        <f t="shared" si="11"/>
        <v>817.02</v>
      </c>
      <c r="J148" s="6">
        <f t="shared" si="12"/>
        <v>18.397425038116243</v>
      </c>
      <c r="K148" s="6">
        <f t="shared" si="8"/>
        <v>11.261193834702814</v>
      </c>
      <c r="L148" s="4" t="str">
        <f>IF(AND(E148&gt;G148, J148&gt;'P&amp;L'!$C$23, COUNTIF($L$4:L147, "Long")=COUNTIF($N$4:N147, "Close")), "Long", "")</f>
        <v/>
      </c>
      <c r="M148" s="4" t="str">
        <f>IF(L148="Long", E148*'P&amp;L'!$C$21,"")</f>
        <v/>
      </c>
      <c r="N148" s="4" t="str">
        <f>IF(AND(J148&gt;'P&amp;L'!$C$24, COUNTIF($L$4:L147, "Long") &gt; COUNTIF($N$4:N147, "Close")), "Close", "")</f>
        <v/>
      </c>
      <c r="O148" s="5" t="str">
        <f>IF(AND(E148&lt;G148, J148&lt;'P&amp;L'!$C$24, J147&gt;'P&amp;L'!$C$24, COUNTIF($O$4:O147, "Short")=COUNTIF($Q$4:Q147, "Close")), "Short", "")</f>
        <v/>
      </c>
      <c r="P148" s="5" t="str">
        <f>IF(O148="Short", E148*'P&amp;L'!$C$21, "")</f>
        <v/>
      </c>
      <c r="Q148" s="5" t="str">
        <f>IF(AND(J148&gt;'P&amp;L'!$C$23, COUNTIF($O$4:O147, "Short") &gt; COUNTIF($Q$4:Q147, "Close")), "Close", "")</f>
        <v/>
      </c>
      <c r="R148" s="6">
        <v>103000</v>
      </c>
    </row>
    <row r="149" spans="1:18" x14ac:dyDescent="0.35">
      <c r="A149" s="12">
        <v>42830</v>
      </c>
      <c r="B149" s="1">
        <v>835.51</v>
      </c>
      <c r="C149" s="1">
        <v>842.45</v>
      </c>
      <c r="D149" s="1">
        <v>830.72</v>
      </c>
      <c r="E149" s="1">
        <v>831.41</v>
      </c>
      <c r="F149" s="1">
        <v>1555328</v>
      </c>
      <c r="G149" s="6">
        <f t="shared" si="9"/>
        <v>859.60333333333324</v>
      </c>
      <c r="H149" s="6">
        <f t="shared" si="10"/>
        <v>876.05</v>
      </c>
      <c r="I149" s="6">
        <f t="shared" si="11"/>
        <v>817.02</v>
      </c>
      <c r="J149" s="6">
        <f t="shared" si="12"/>
        <v>24.377435202439425</v>
      </c>
      <c r="K149" s="6">
        <f t="shared" ref="K149:K212" si="13">AVERAGE(J147:J149)</f>
        <v>16.812629128901364</v>
      </c>
      <c r="L149" s="4" t="str">
        <f>IF(AND(E149&gt;G149, J149&gt;'P&amp;L'!$C$23, COUNTIF($L$4:L148, "Long")=COUNTIF($N$4:N148, "Close")), "Long", "")</f>
        <v/>
      </c>
      <c r="M149" s="4" t="str">
        <f>IF(L149="Long", E149*'P&amp;L'!$C$21,"")</f>
        <v/>
      </c>
      <c r="N149" s="4" t="str">
        <f>IF(AND(J149&gt;'P&amp;L'!$C$24, COUNTIF($L$4:L148, "Long") &gt; COUNTIF($N$4:N148, "Close")), "Close", "")</f>
        <v/>
      </c>
      <c r="O149" s="5" t="str">
        <f>IF(AND(E149&lt;G149, J149&lt;'P&amp;L'!$C$24, J148&gt;'P&amp;L'!$C$24, COUNTIF($O$4:O148, "Short")=COUNTIF($Q$4:Q148, "Close")), "Short", "")</f>
        <v/>
      </c>
      <c r="P149" s="5" t="str">
        <f>IF(O149="Short", E149*'P&amp;L'!$C$21, "")</f>
        <v/>
      </c>
      <c r="Q149" s="5" t="str">
        <f>IF(AND(J149&gt;'P&amp;L'!$C$23, COUNTIF($O$4:O148, "Short") &gt; COUNTIF($Q$4:Q148, "Close")), "Close", "")</f>
        <v/>
      </c>
      <c r="R149" s="6">
        <v>103000</v>
      </c>
    </row>
    <row r="150" spans="1:18" x14ac:dyDescent="0.35">
      <c r="A150" s="12">
        <v>42829</v>
      </c>
      <c r="B150" s="1">
        <v>831.36</v>
      </c>
      <c r="C150" s="1">
        <v>835.18</v>
      </c>
      <c r="D150" s="1">
        <v>829.04</v>
      </c>
      <c r="E150" s="1">
        <v>834.57</v>
      </c>
      <c r="F150" s="1">
        <v>1045363</v>
      </c>
      <c r="G150" s="6">
        <f t="shared" si="9"/>
        <v>854.9799999999999</v>
      </c>
      <c r="H150" s="6">
        <f t="shared" si="10"/>
        <v>875</v>
      </c>
      <c r="I150" s="6">
        <f t="shared" si="11"/>
        <v>817.02</v>
      </c>
      <c r="J150" s="6">
        <f t="shared" si="12"/>
        <v>30.269058295964236</v>
      </c>
      <c r="K150" s="6">
        <f t="shared" si="13"/>
        <v>24.347972845506632</v>
      </c>
      <c r="L150" s="4" t="str">
        <f>IF(AND(E150&gt;G150, J150&gt;'P&amp;L'!$C$23, COUNTIF($L$4:L149, "Long")=COUNTIF($N$4:N149, "Close")), "Long", "")</f>
        <v/>
      </c>
      <c r="M150" s="4" t="str">
        <f>IF(L150="Long", E150*'P&amp;L'!$C$21,"")</f>
        <v/>
      </c>
      <c r="N150" s="4" t="str">
        <f>IF(AND(J150&gt;'P&amp;L'!$C$24, COUNTIF($L$4:L149, "Long") &gt; COUNTIF($N$4:N149, "Close")), "Close", "")</f>
        <v/>
      </c>
      <c r="O150" s="5" t="str">
        <f>IF(AND(E150&lt;G150, J150&lt;'P&amp;L'!$C$24, J149&gt;'P&amp;L'!$C$24, COUNTIF($O$4:O149, "Short")=COUNTIF($Q$4:Q149, "Close")), "Short", "")</f>
        <v/>
      </c>
      <c r="P150" s="5" t="str">
        <f>IF(O150="Short", E150*'P&amp;L'!$C$21, "")</f>
        <v/>
      </c>
      <c r="Q150" s="5" t="str">
        <f>IF(AND(J150&gt;'P&amp;L'!$C$23, COUNTIF($O$4:O149, "Short") &gt; COUNTIF($Q$4:Q149, "Close")), "Close", "")</f>
        <v/>
      </c>
      <c r="R150" s="6">
        <v>103000</v>
      </c>
    </row>
    <row r="151" spans="1:18" x14ac:dyDescent="0.35">
      <c r="A151" s="12">
        <v>42828</v>
      </c>
      <c r="B151" s="1">
        <v>829.22</v>
      </c>
      <c r="C151" s="1">
        <v>840.85</v>
      </c>
      <c r="D151" s="1">
        <v>829.22</v>
      </c>
      <c r="E151" s="1">
        <v>838.55</v>
      </c>
      <c r="F151" s="1">
        <v>1671503</v>
      </c>
      <c r="G151" s="6">
        <f t="shared" si="9"/>
        <v>850.76619047619045</v>
      </c>
      <c r="H151" s="6">
        <f t="shared" si="10"/>
        <v>863.45</v>
      </c>
      <c r="I151" s="6">
        <f t="shared" si="11"/>
        <v>817.02</v>
      </c>
      <c r="J151" s="6">
        <f t="shared" si="12"/>
        <v>46.370880895972313</v>
      </c>
      <c r="K151" s="6">
        <f t="shared" si="13"/>
        <v>33.672458131458654</v>
      </c>
      <c r="L151" s="4" t="str">
        <f>IF(AND(E151&gt;G151, J151&gt;'P&amp;L'!$C$23, COUNTIF($L$4:L150, "Long")=COUNTIF($N$4:N150, "Close")), "Long", "")</f>
        <v/>
      </c>
      <c r="M151" s="4" t="str">
        <f>IF(L151="Long", E151*'P&amp;L'!$C$21,"")</f>
        <v/>
      </c>
      <c r="N151" s="4" t="str">
        <f>IF(AND(J151&gt;'P&amp;L'!$C$24, COUNTIF($L$4:L150, "Long") &gt; COUNTIF($N$4:N150, "Close")), "Close", "")</f>
        <v/>
      </c>
      <c r="O151" s="5" t="str">
        <f>IF(AND(E151&lt;G151, J151&lt;'P&amp;L'!$C$24, J150&gt;'P&amp;L'!$C$24, COUNTIF($O$4:O150, "Short")=COUNTIF($Q$4:Q150, "Close")), "Short", "")</f>
        <v/>
      </c>
      <c r="P151" s="5" t="str">
        <f>IF(O151="Short", E151*'P&amp;L'!$C$21, "")</f>
        <v/>
      </c>
      <c r="Q151" s="5" t="str">
        <f>IF(AND(J151&gt;'P&amp;L'!$C$23, COUNTIF($O$4:O150, "Short") &gt; COUNTIF($Q$4:Q150, "Close")), "Close", "")</f>
        <v/>
      </c>
      <c r="R151" s="6">
        <v>103000</v>
      </c>
    </row>
    <row r="152" spans="1:18" x14ac:dyDescent="0.35">
      <c r="A152" s="12">
        <v>42825</v>
      </c>
      <c r="B152" s="1">
        <v>828.97</v>
      </c>
      <c r="C152" s="1">
        <v>831.64</v>
      </c>
      <c r="D152" s="1">
        <v>827.39</v>
      </c>
      <c r="E152" s="1">
        <v>829.56</v>
      </c>
      <c r="F152" s="1">
        <v>1401893</v>
      </c>
      <c r="G152" s="6">
        <f t="shared" si="9"/>
        <v>846.62904761904758</v>
      </c>
      <c r="H152" s="6">
        <f t="shared" si="10"/>
        <v>845.2</v>
      </c>
      <c r="I152" s="6">
        <f t="shared" si="11"/>
        <v>817.02</v>
      </c>
      <c r="J152" s="6">
        <f t="shared" si="12"/>
        <v>44.499645138395792</v>
      </c>
      <c r="K152" s="6">
        <f t="shared" si="13"/>
        <v>40.379861443444113</v>
      </c>
      <c r="L152" s="4" t="str">
        <f>IF(AND(E152&gt;G152, J152&gt;'P&amp;L'!$C$23, COUNTIF($L$4:L151, "Long")=COUNTIF($N$4:N151, "Close")), "Long", "")</f>
        <v/>
      </c>
      <c r="M152" s="4" t="str">
        <f>IF(L152="Long", E152*'P&amp;L'!$C$21,"")</f>
        <v/>
      </c>
      <c r="N152" s="4" t="str">
        <f>IF(AND(J152&gt;'P&amp;L'!$C$24, COUNTIF($L$4:L151, "Long") &gt; COUNTIF($N$4:N151, "Close")), "Close", "")</f>
        <v/>
      </c>
      <c r="O152" s="5" t="str">
        <f>IF(AND(E152&lt;G152, J152&lt;'P&amp;L'!$C$24, J151&gt;'P&amp;L'!$C$24, COUNTIF($O$4:O151, "Short")=COUNTIF($Q$4:Q151, "Close")), "Short", "")</f>
        <v/>
      </c>
      <c r="P152" s="5" t="str">
        <f>IF(O152="Short", E152*'P&amp;L'!$C$21, "")</f>
        <v/>
      </c>
      <c r="Q152" s="5" t="str">
        <f>IF(AND(J152&gt;'P&amp;L'!$C$23, COUNTIF($O$4:O151, "Short") &gt; COUNTIF($Q$4:Q151, "Close")), "Close", "")</f>
        <v/>
      </c>
      <c r="R152" s="6">
        <v>103000</v>
      </c>
    </row>
    <row r="153" spans="1:18" x14ac:dyDescent="0.35">
      <c r="A153" s="12">
        <v>42824</v>
      </c>
      <c r="B153" s="1">
        <v>833.5</v>
      </c>
      <c r="C153" s="1">
        <v>833.68</v>
      </c>
      <c r="D153" s="1">
        <v>829</v>
      </c>
      <c r="E153" s="1">
        <v>831.5</v>
      </c>
      <c r="F153" s="1">
        <v>1055339</v>
      </c>
      <c r="G153" s="6">
        <f t="shared" ref="G153:G216" si="14">AVERAGE(E133:E153)</f>
        <v>842.76857142857125</v>
      </c>
      <c r="H153" s="6">
        <f t="shared" si="10"/>
        <v>845.2</v>
      </c>
      <c r="I153" s="6">
        <f t="shared" si="11"/>
        <v>817.02</v>
      </c>
      <c r="J153" s="6">
        <f t="shared" si="12"/>
        <v>51.383960255500305</v>
      </c>
      <c r="K153" s="6">
        <f t="shared" si="13"/>
        <v>47.418162096622808</v>
      </c>
      <c r="L153" s="4" t="str">
        <f>IF(AND(E153&gt;G153, J153&gt;'P&amp;L'!$C$23, COUNTIF($L$4:L152, "Long")=COUNTIF($N$4:N152, "Close")), "Long", "")</f>
        <v/>
      </c>
      <c r="M153" s="4" t="str">
        <f>IF(L153="Long", E153*'P&amp;L'!$C$21,"")</f>
        <v/>
      </c>
      <c r="N153" s="4" t="str">
        <f>IF(AND(J153&gt;'P&amp;L'!$C$24, COUNTIF($L$4:L152, "Long") &gt; COUNTIF($N$4:N152, "Close")), "Close", "")</f>
        <v/>
      </c>
      <c r="O153" s="5" t="str">
        <f>IF(AND(E153&lt;G153, J153&lt;'P&amp;L'!$C$24, J152&gt;'P&amp;L'!$C$24, COUNTIF($O$4:O152, "Short")=COUNTIF($Q$4:Q152, "Close")), "Short", "")</f>
        <v/>
      </c>
      <c r="P153" s="5" t="str">
        <f>IF(O153="Short", E153*'P&amp;L'!$C$21, "")</f>
        <v/>
      </c>
      <c r="Q153" s="5" t="str">
        <f>IF(AND(J153&gt;'P&amp;L'!$C$23, COUNTIF($O$4:O152, "Short") &gt; COUNTIF($Q$4:Q152, "Close")), "Close", "")</f>
        <v/>
      </c>
      <c r="R153" s="6">
        <v>103000</v>
      </c>
    </row>
    <row r="154" spans="1:18" x14ac:dyDescent="0.35">
      <c r="A154" s="12">
        <v>42823</v>
      </c>
      <c r="B154" s="1">
        <v>825</v>
      </c>
      <c r="C154" s="1">
        <v>832.76</v>
      </c>
      <c r="D154" s="1">
        <v>822.38</v>
      </c>
      <c r="E154" s="1">
        <v>831.41</v>
      </c>
      <c r="F154" s="1">
        <v>1786321</v>
      </c>
      <c r="G154" s="6">
        <f t="shared" si="14"/>
        <v>839.21857142857129</v>
      </c>
      <c r="H154" s="6">
        <f t="shared" si="10"/>
        <v>842.45</v>
      </c>
      <c r="I154" s="6">
        <f t="shared" si="11"/>
        <v>817.02</v>
      </c>
      <c r="J154" s="6">
        <f t="shared" si="12"/>
        <v>56.586708611875544</v>
      </c>
      <c r="K154" s="6">
        <f t="shared" si="13"/>
        <v>50.823438001923876</v>
      </c>
      <c r="L154" s="4" t="str">
        <f>IF(AND(E154&gt;G154, J154&gt;'P&amp;L'!$C$23, COUNTIF($L$4:L153, "Long")=COUNTIF($N$4:N153, "Close")), "Long", "")</f>
        <v/>
      </c>
      <c r="M154" s="4" t="str">
        <f>IF(L154="Long", E154*'P&amp;L'!$C$21,"")</f>
        <v/>
      </c>
      <c r="N154" s="4" t="str">
        <f>IF(AND(J154&gt;'P&amp;L'!$C$24, COUNTIF($L$4:L153, "Long") &gt; COUNTIF($N$4:N153, "Close")), "Close", "")</f>
        <v/>
      </c>
      <c r="O154" s="5" t="str">
        <f>IF(AND(E154&lt;G154, J154&lt;'P&amp;L'!$C$24, J153&gt;'P&amp;L'!$C$24, COUNTIF($O$4:O153, "Short")=COUNTIF($Q$4:Q153, "Close")), "Short", "")</f>
        <v/>
      </c>
      <c r="P154" s="5" t="str">
        <f>IF(O154="Short", E154*'P&amp;L'!$C$21, "")</f>
        <v/>
      </c>
      <c r="Q154" s="5" t="str">
        <f>IF(AND(J154&gt;'P&amp;L'!$C$23, COUNTIF($O$4:O153, "Short") &gt; COUNTIF($Q$4:Q153, "Close")), "Close", "")</f>
        <v/>
      </c>
      <c r="R154" s="6">
        <v>103000</v>
      </c>
    </row>
    <row r="155" spans="1:18" x14ac:dyDescent="0.35">
      <c r="A155" s="12">
        <v>42822</v>
      </c>
      <c r="B155" s="1">
        <v>820.41</v>
      </c>
      <c r="C155" s="1">
        <v>825.99</v>
      </c>
      <c r="D155" s="1">
        <v>814.03</v>
      </c>
      <c r="E155" s="1">
        <v>820.92</v>
      </c>
      <c r="F155" s="1">
        <v>1620542</v>
      </c>
      <c r="G155" s="6">
        <f t="shared" si="14"/>
        <v>836.67904761904742</v>
      </c>
      <c r="H155" s="6">
        <f t="shared" si="10"/>
        <v>842.45</v>
      </c>
      <c r="I155" s="6">
        <f t="shared" si="11"/>
        <v>814.03</v>
      </c>
      <c r="J155" s="6">
        <f t="shared" si="12"/>
        <v>24.243490499648026</v>
      </c>
      <c r="K155" s="6">
        <f t="shared" si="13"/>
        <v>44.071386455674627</v>
      </c>
      <c r="L155" s="4" t="str">
        <f>IF(AND(E155&gt;G155, J155&gt;'P&amp;L'!$C$23, COUNTIF($L$4:L154, "Long")=COUNTIF($N$4:N154, "Close")), "Long", "")</f>
        <v/>
      </c>
      <c r="M155" s="4" t="str">
        <f>IF(L155="Long", E155*'P&amp;L'!$C$21,"")</f>
        <v/>
      </c>
      <c r="N155" s="4" t="str">
        <f>IF(AND(J155&gt;'P&amp;L'!$C$24, COUNTIF($L$4:L154, "Long") &gt; COUNTIF($N$4:N154, "Close")), "Close", "")</f>
        <v/>
      </c>
      <c r="O155" s="5" t="str">
        <f>IF(AND(E155&lt;G155, J155&lt;'P&amp;L'!$C$24, J154&gt;'P&amp;L'!$C$24, COUNTIF($O$4:O154, "Short")=COUNTIF($Q$4:Q154, "Close")), "Short", "")</f>
        <v>Short</v>
      </c>
      <c r="P155" s="5">
        <f>IF(O155="Short", E155*'P&amp;L'!$C$21, "")</f>
        <v>41046</v>
      </c>
      <c r="Q155" s="5" t="str">
        <f>IF(AND(J155&gt;'P&amp;L'!$C$23, COUNTIF($O$4:O154, "Short") &gt; COUNTIF($Q$4:Q154, "Close")), "Close", "")</f>
        <v/>
      </c>
      <c r="R155" s="6">
        <v>144046</v>
      </c>
    </row>
    <row r="156" spans="1:18" x14ac:dyDescent="0.35">
      <c r="A156" s="12">
        <v>42821</v>
      </c>
      <c r="B156" s="1">
        <v>806.95</v>
      </c>
      <c r="C156" s="1">
        <v>821.63</v>
      </c>
      <c r="D156" s="1">
        <v>803.37</v>
      </c>
      <c r="E156" s="1">
        <v>819.51</v>
      </c>
      <c r="F156" s="1">
        <v>1894990</v>
      </c>
      <c r="G156" s="6">
        <f t="shared" si="14"/>
        <v>834.19238095238063</v>
      </c>
      <c r="H156" s="6">
        <f t="shared" si="10"/>
        <v>842.45</v>
      </c>
      <c r="I156" s="6">
        <f t="shared" si="11"/>
        <v>803.37</v>
      </c>
      <c r="J156" s="6">
        <f t="shared" si="12"/>
        <v>41.299897645854578</v>
      </c>
      <c r="K156" s="6">
        <f t="shared" si="13"/>
        <v>40.710032252459378</v>
      </c>
      <c r="L156" s="4" t="str">
        <f>IF(AND(E156&gt;G156, J156&gt;'P&amp;L'!$C$23, COUNTIF($L$4:L155, "Long")=COUNTIF($N$4:N155, "Close")), "Long", "")</f>
        <v/>
      </c>
      <c r="M156" s="4" t="str">
        <f>IF(L156="Long", E156*'P&amp;L'!$C$21,"")</f>
        <v/>
      </c>
      <c r="N156" s="4" t="str">
        <f>IF(AND(J156&gt;'P&amp;L'!$C$24, COUNTIF($L$4:L155, "Long") &gt; COUNTIF($N$4:N155, "Close")), "Close", "")</f>
        <v/>
      </c>
      <c r="O156" s="5" t="str">
        <f>IF(AND(E156&lt;G156, J156&lt;'P&amp;L'!$C$24, J155&gt;'P&amp;L'!$C$24, COUNTIF($O$4:O155, "Short")=COUNTIF($Q$4:Q155, "Close")), "Short", "")</f>
        <v/>
      </c>
      <c r="P156" s="5" t="str">
        <f>IF(O156="Short", E156*'P&amp;L'!$C$21, "")</f>
        <v/>
      </c>
      <c r="Q156" s="5" t="str">
        <f>IF(AND(J156&gt;'P&amp;L'!$C$23, COUNTIF($O$4:O155, "Short") &gt; COUNTIF($Q$4:Q155, "Close")), "Close", "")</f>
        <v>Close</v>
      </c>
      <c r="R156" s="6">
        <v>103070.5</v>
      </c>
    </row>
    <row r="157" spans="1:18" x14ac:dyDescent="0.35">
      <c r="A157" s="12">
        <v>42818</v>
      </c>
      <c r="B157" s="1">
        <v>820.08</v>
      </c>
      <c r="C157" s="1">
        <v>821.93</v>
      </c>
      <c r="D157" s="1">
        <v>808.89</v>
      </c>
      <c r="E157" s="1">
        <v>814.43</v>
      </c>
      <c r="F157" s="1">
        <v>1981006</v>
      </c>
      <c r="G157" s="6">
        <f t="shared" si="14"/>
        <v>831.43666666666661</v>
      </c>
      <c r="H157" s="6">
        <f t="shared" si="10"/>
        <v>842.45</v>
      </c>
      <c r="I157" s="6">
        <f t="shared" si="11"/>
        <v>803.37</v>
      </c>
      <c r="J157" s="6">
        <f t="shared" si="12"/>
        <v>28.300921187307914</v>
      </c>
      <c r="K157" s="6">
        <f t="shared" si="13"/>
        <v>31.281436444270174</v>
      </c>
      <c r="L157" s="4" t="str">
        <f>IF(AND(E157&gt;G157, J157&gt;'P&amp;L'!$C$23, COUNTIF($L$4:L156, "Long")=COUNTIF($N$4:N156, "Close")), "Long", "")</f>
        <v/>
      </c>
      <c r="M157" s="4" t="str">
        <f>IF(L157="Long", E157*'P&amp;L'!$C$21,"")</f>
        <v/>
      </c>
      <c r="N157" s="4" t="str">
        <f>IF(AND(J157&gt;'P&amp;L'!$C$24, COUNTIF($L$4:L156, "Long") &gt; COUNTIF($N$4:N156, "Close")), "Close", "")</f>
        <v/>
      </c>
      <c r="O157" s="5" t="str">
        <f>IF(AND(E157&lt;G157, J157&lt;'P&amp;L'!$C$24, J156&gt;'P&amp;L'!$C$24, COUNTIF($O$4:O156, "Short")=COUNTIF($Q$4:Q156, "Close")), "Short", "")</f>
        <v>Short</v>
      </c>
      <c r="P157" s="5">
        <f>IF(O157="Short", E157*'P&amp;L'!$C$21, "")</f>
        <v>40721.5</v>
      </c>
      <c r="Q157" s="5" t="str">
        <f>IF(AND(J157&gt;'P&amp;L'!$C$23, COUNTIF($O$4:O156, "Short") &gt; COUNTIF($Q$4:Q156, "Close")), "Close", "")</f>
        <v/>
      </c>
      <c r="R157" s="6">
        <v>143792</v>
      </c>
    </row>
    <row r="158" spans="1:18" x14ac:dyDescent="0.35">
      <c r="A158" s="12">
        <v>42817</v>
      </c>
      <c r="B158" s="1">
        <v>821</v>
      </c>
      <c r="C158" s="1">
        <v>822.57</v>
      </c>
      <c r="D158" s="1">
        <v>812.26</v>
      </c>
      <c r="E158" s="1">
        <v>817.58</v>
      </c>
      <c r="F158" s="1">
        <v>3487056</v>
      </c>
      <c r="G158" s="6">
        <f t="shared" si="14"/>
        <v>829.28523809523801</v>
      </c>
      <c r="H158" s="6">
        <f t="shared" si="10"/>
        <v>842.45</v>
      </c>
      <c r="I158" s="6">
        <f t="shared" si="11"/>
        <v>803.37</v>
      </c>
      <c r="J158" s="6">
        <f t="shared" si="12"/>
        <v>36.361310133060442</v>
      </c>
      <c r="K158" s="6">
        <f t="shared" si="13"/>
        <v>35.320709655407647</v>
      </c>
      <c r="L158" s="4" t="str">
        <f>IF(AND(E158&gt;G158, J158&gt;'P&amp;L'!$C$23, COUNTIF($L$4:L157, "Long")=COUNTIF($N$4:N157, "Close")), "Long", "")</f>
        <v/>
      </c>
      <c r="M158" s="4" t="str">
        <f>IF(L158="Long", E158*'P&amp;L'!$C$21,"")</f>
        <v/>
      </c>
      <c r="N158" s="4" t="str">
        <f>IF(AND(J158&gt;'P&amp;L'!$C$24, COUNTIF($L$4:L157, "Long") &gt; COUNTIF($N$4:N157, "Close")), "Close", "")</f>
        <v/>
      </c>
      <c r="O158" s="5" t="str">
        <f>IF(AND(E158&lt;G158, J158&lt;'P&amp;L'!$C$24, J157&gt;'P&amp;L'!$C$24, COUNTIF($O$4:O157, "Short")=COUNTIF($Q$4:Q157, "Close")), "Short", "")</f>
        <v/>
      </c>
      <c r="P158" s="5" t="str">
        <f>IF(O158="Short", E158*'P&amp;L'!$C$21, "")</f>
        <v/>
      </c>
      <c r="Q158" s="5" t="str">
        <f>IF(AND(J158&gt;'P&amp;L'!$C$23, COUNTIF($O$4:O157, "Short") &gt; COUNTIF($Q$4:Q157, "Close")), "Close", "")</f>
        <v>Close</v>
      </c>
      <c r="R158" s="6">
        <v>102913</v>
      </c>
    </row>
    <row r="159" spans="1:18" x14ac:dyDescent="0.35">
      <c r="A159" s="12">
        <v>42816</v>
      </c>
      <c r="B159" s="1">
        <v>831.91</v>
      </c>
      <c r="C159" s="1">
        <v>835.55</v>
      </c>
      <c r="D159" s="1">
        <v>827.18</v>
      </c>
      <c r="E159" s="1">
        <v>829.59</v>
      </c>
      <c r="F159" s="1">
        <v>1401465</v>
      </c>
      <c r="G159" s="6">
        <f t="shared" si="14"/>
        <v>828.63761904761907</v>
      </c>
      <c r="H159" s="6">
        <f t="shared" si="10"/>
        <v>842.45</v>
      </c>
      <c r="I159" s="6">
        <f t="shared" si="11"/>
        <v>803.37</v>
      </c>
      <c r="J159" s="6">
        <f t="shared" si="12"/>
        <v>67.093142272262028</v>
      </c>
      <c r="K159" s="6">
        <f t="shared" si="13"/>
        <v>43.918457864210133</v>
      </c>
      <c r="L159" s="4" t="str">
        <f>IF(AND(E159&gt;G159, J159&gt;'P&amp;L'!$C$23, COUNTIF($L$4:L158, "Long")=COUNTIF($N$4:N158, "Close")), "Long", "")</f>
        <v>Long</v>
      </c>
      <c r="M159" s="4">
        <f>IF(L159="Long", E159*'P&amp;L'!$C$21,"")</f>
        <v>41479.5</v>
      </c>
      <c r="N159" s="4" t="str">
        <f>IF(AND(J159&gt;'P&amp;L'!$C$24, COUNTIF($L$4:L158, "Long") &gt; COUNTIF($N$4:N158, "Close")), "Close", "")</f>
        <v/>
      </c>
      <c r="O159" s="5" t="str">
        <f>IF(AND(E159&lt;G159, J159&lt;'P&amp;L'!$C$24, J158&gt;'P&amp;L'!$C$24, COUNTIF($O$4:O158, "Short")=COUNTIF($Q$4:Q158, "Close")), "Short", "")</f>
        <v/>
      </c>
      <c r="P159" s="5" t="str">
        <f>IF(O159="Short", E159*'P&amp;L'!$C$21, "")</f>
        <v/>
      </c>
      <c r="Q159" s="5" t="str">
        <f>IF(AND(J159&gt;'P&amp;L'!$C$23, COUNTIF($O$4:O158, "Short") &gt; COUNTIF($Q$4:Q158, "Close")), "Close", "")</f>
        <v/>
      </c>
      <c r="R159" s="6">
        <v>61433.5</v>
      </c>
    </row>
    <row r="160" spans="1:18" x14ac:dyDescent="0.35">
      <c r="A160" s="12">
        <v>42815</v>
      </c>
      <c r="B160" s="1">
        <v>851.4</v>
      </c>
      <c r="C160" s="1">
        <v>853.5</v>
      </c>
      <c r="D160" s="1">
        <v>829.02</v>
      </c>
      <c r="E160" s="1">
        <v>830.46</v>
      </c>
      <c r="F160" s="1">
        <v>2463484</v>
      </c>
      <c r="G160" s="6">
        <f t="shared" si="14"/>
        <v>828.10476190476174</v>
      </c>
      <c r="H160" s="6">
        <f t="shared" si="10"/>
        <v>853.5</v>
      </c>
      <c r="I160" s="6">
        <f t="shared" si="11"/>
        <v>803.37</v>
      </c>
      <c r="J160" s="6">
        <f t="shared" si="12"/>
        <v>54.039497307001859</v>
      </c>
      <c r="K160" s="6">
        <f t="shared" si="13"/>
        <v>52.497983237441446</v>
      </c>
      <c r="L160" s="4" t="str">
        <f>IF(AND(E160&gt;G160, J160&gt;'P&amp;L'!$C$23, COUNTIF($L$4:L159, "Long")=COUNTIF($N$4:N159, "Close")), "Long", "")</f>
        <v/>
      </c>
      <c r="M160" s="4" t="str">
        <f>IF(L160="Long", E160*'P&amp;L'!$C$21,"")</f>
        <v/>
      </c>
      <c r="N160" s="4" t="str">
        <f>IF(AND(J160&gt;'P&amp;L'!$C$24, COUNTIF($L$4:L159, "Long") &gt; COUNTIF($N$4:N159, "Close")), "Close", "")</f>
        <v>Close</v>
      </c>
      <c r="O160" s="5" t="str">
        <f>IF(AND(E160&lt;G160, J160&lt;'P&amp;L'!$C$24, J159&gt;'P&amp;L'!$C$24, COUNTIF($O$4:O159, "Short")=COUNTIF($Q$4:Q159, "Close")), "Short", "")</f>
        <v/>
      </c>
      <c r="P160" s="5" t="str">
        <f>IF(O160="Short", E160*'P&amp;L'!$C$21, "")</f>
        <v/>
      </c>
      <c r="Q160" s="5" t="str">
        <f>IF(AND(J160&gt;'P&amp;L'!$C$23, COUNTIF($O$4:O159, "Short") &gt; COUNTIF($Q$4:Q159, "Close")), "Close", "")</f>
        <v/>
      </c>
      <c r="R160" s="6">
        <v>102956.5</v>
      </c>
    </row>
    <row r="161" spans="1:18" x14ac:dyDescent="0.35">
      <c r="A161" s="12">
        <v>42814</v>
      </c>
      <c r="B161" s="1">
        <v>850.01</v>
      </c>
      <c r="C161" s="1">
        <v>850.22</v>
      </c>
      <c r="D161" s="1">
        <v>845.15</v>
      </c>
      <c r="E161" s="1">
        <v>848.4</v>
      </c>
      <c r="F161" s="1">
        <v>1231521</v>
      </c>
      <c r="G161" s="6">
        <f t="shared" si="14"/>
        <v>828.59000000000015</v>
      </c>
      <c r="H161" s="6">
        <f t="shared" si="10"/>
        <v>853.5</v>
      </c>
      <c r="I161" s="6">
        <f t="shared" si="11"/>
        <v>803.37</v>
      </c>
      <c r="J161" s="6">
        <f t="shared" si="12"/>
        <v>89.826451226810249</v>
      </c>
      <c r="K161" s="6">
        <f t="shared" si="13"/>
        <v>70.319696935358039</v>
      </c>
      <c r="L161" s="4" t="str">
        <f>IF(AND(E161&gt;G161, J161&gt;'P&amp;L'!$C$23, COUNTIF($L$4:L160, "Long")=COUNTIF($N$4:N160, "Close")), "Long", "")</f>
        <v>Long</v>
      </c>
      <c r="M161" s="4">
        <f>IF(L161="Long", E161*'P&amp;L'!$C$21,"")</f>
        <v>42420</v>
      </c>
      <c r="N161" s="4" t="str">
        <f>IF(AND(J161&gt;'P&amp;L'!$C$24, COUNTIF($L$4:L160, "Long") &gt; COUNTIF($N$4:N160, "Close")), "Close", "")</f>
        <v/>
      </c>
      <c r="O161" s="5" t="str">
        <f>IF(AND(E161&lt;G161, J161&lt;'P&amp;L'!$C$24, J160&gt;'P&amp;L'!$C$24, COUNTIF($O$4:O160, "Short")=COUNTIF($Q$4:Q160, "Close")), "Short", "")</f>
        <v/>
      </c>
      <c r="P161" s="5" t="str">
        <f>IF(O161="Short", E161*'P&amp;L'!$C$21, "")</f>
        <v/>
      </c>
      <c r="Q161" s="5" t="str">
        <f>IF(AND(J161&gt;'P&amp;L'!$C$23, COUNTIF($O$4:O160, "Short") &gt; COUNTIF($Q$4:Q160, "Close")), "Close", "")</f>
        <v/>
      </c>
      <c r="R161" s="6">
        <v>60536.5</v>
      </c>
    </row>
    <row r="162" spans="1:18" x14ac:dyDescent="0.35">
      <c r="A162" s="12">
        <v>42811</v>
      </c>
      <c r="B162" s="1">
        <v>851.61</v>
      </c>
      <c r="C162" s="1">
        <v>853.4</v>
      </c>
      <c r="D162" s="1">
        <v>847.11</v>
      </c>
      <c r="E162" s="1">
        <v>852.12</v>
      </c>
      <c r="F162" s="1">
        <v>1716471</v>
      </c>
      <c r="G162" s="6">
        <f t="shared" si="14"/>
        <v>829.31857142857132</v>
      </c>
      <c r="H162" s="6">
        <f t="shared" si="10"/>
        <v>853.5</v>
      </c>
      <c r="I162" s="6">
        <f t="shared" si="11"/>
        <v>803.37</v>
      </c>
      <c r="J162" s="6">
        <f t="shared" si="12"/>
        <v>97.247157390783968</v>
      </c>
      <c r="K162" s="6">
        <f t="shared" si="13"/>
        <v>80.371035308198699</v>
      </c>
      <c r="L162" s="4" t="str">
        <f>IF(AND(E162&gt;G162, J162&gt;'P&amp;L'!$C$23, COUNTIF($L$4:L161, "Long")=COUNTIF($N$4:N161, "Close")), "Long", "")</f>
        <v/>
      </c>
      <c r="M162" s="4" t="str">
        <f>IF(L162="Long", E162*'P&amp;L'!$C$21,"")</f>
        <v/>
      </c>
      <c r="N162" s="4" t="str">
        <f>IF(AND(J162&gt;'P&amp;L'!$C$24, COUNTIF($L$4:L161, "Long") &gt; COUNTIF($N$4:N161, "Close")), "Close", "")</f>
        <v>Close</v>
      </c>
      <c r="O162" s="5" t="str">
        <f>IF(AND(E162&lt;G162, J162&lt;'P&amp;L'!$C$24, J161&gt;'P&amp;L'!$C$24, COUNTIF($O$4:O161, "Short")=COUNTIF($Q$4:Q161, "Close")), "Short", "")</f>
        <v/>
      </c>
      <c r="P162" s="5" t="str">
        <f>IF(O162="Short", E162*'P&amp;L'!$C$21, "")</f>
        <v/>
      </c>
      <c r="Q162" s="5" t="str">
        <f>IF(AND(J162&gt;'P&amp;L'!$C$23, COUNTIF($O$4:O161, "Short") &gt; COUNTIF($Q$4:Q161, "Close")), "Close", "")</f>
        <v/>
      </c>
      <c r="R162" s="6">
        <v>103142.5</v>
      </c>
    </row>
    <row r="163" spans="1:18" x14ac:dyDescent="0.35">
      <c r="A163" s="12">
        <v>42810</v>
      </c>
      <c r="B163" s="1">
        <v>849.03</v>
      </c>
      <c r="C163" s="1">
        <v>850.85</v>
      </c>
      <c r="D163" s="1">
        <v>846.13</v>
      </c>
      <c r="E163" s="1">
        <v>848.78</v>
      </c>
      <c r="F163" s="1">
        <v>977560</v>
      </c>
      <c r="G163" s="6">
        <f t="shared" si="14"/>
        <v>829.87142857142851</v>
      </c>
      <c r="H163" s="6">
        <f t="shared" si="10"/>
        <v>853.5</v>
      </c>
      <c r="I163" s="6">
        <f t="shared" si="11"/>
        <v>803.37</v>
      </c>
      <c r="J163" s="6">
        <f t="shared" si="12"/>
        <v>90.584480351087109</v>
      </c>
      <c r="K163" s="6">
        <f t="shared" si="13"/>
        <v>92.55269632289378</v>
      </c>
      <c r="L163" s="4" t="str">
        <f>IF(AND(E163&gt;G163, J163&gt;'P&amp;L'!$C$23, COUNTIF($L$4:L162, "Long")=COUNTIF($N$4:N162, "Close")), "Long", "")</f>
        <v>Long</v>
      </c>
      <c r="M163" s="4">
        <f>IF(L163="Long", E163*'P&amp;L'!$C$21,"")</f>
        <v>42439</v>
      </c>
      <c r="N163" s="4" t="str">
        <f>IF(AND(J163&gt;'P&amp;L'!$C$24, COUNTIF($L$4:L162, "Long") &gt; COUNTIF($N$4:N162, "Close")), "Close", "")</f>
        <v/>
      </c>
      <c r="O163" s="5" t="str">
        <f>IF(AND(E163&lt;G163, J163&lt;'P&amp;L'!$C$24, J162&gt;'P&amp;L'!$C$24, COUNTIF($O$4:O162, "Short")=COUNTIF($Q$4:Q162, "Close")), "Short", "")</f>
        <v/>
      </c>
      <c r="P163" s="5" t="str">
        <f>IF(O163="Short", E163*'P&amp;L'!$C$21, "")</f>
        <v/>
      </c>
      <c r="Q163" s="5" t="str">
        <f>IF(AND(J163&gt;'P&amp;L'!$C$23, COUNTIF($O$4:O162, "Short") &gt; COUNTIF($Q$4:Q162, "Close")), "Close", "")</f>
        <v/>
      </c>
      <c r="R163" s="6">
        <v>60703.5</v>
      </c>
    </row>
    <row r="164" spans="1:18" x14ac:dyDescent="0.35">
      <c r="A164" s="12">
        <v>42809</v>
      </c>
      <c r="B164" s="1">
        <v>847.59</v>
      </c>
      <c r="C164" s="1">
        <v>848.63</v>
      </c>
      <c r="D164" s="1">
        <v>840.77</v>
      </c>
      <c r="E164" s="1">
        <v>847.2</v>
      </c>
      <c r="F164" s="1">
        <v>1381474</v>
      </c>
      <c r="G164" s="6">
        <f t="shared" si="14"/>
        <v>830.99714285714276</v>
      </c>
      <c r="H164" s="6">
        <f t="shared" si="10"/>
        <v>853.5</v>
      </c>
      <c r="I164" s="6">
        <f t="shared" si="11"/>
        <v>803.37</v>
      </c>
      <c r="J164" s="6">
        <f t="shared" si="12"/>
        <v>87.432675044883396</v>
      </c>
      <c r="K164" s="6">
        <f t="shared" si="13"/>
        <v>91.754770928918163</v>
      </c>
      <c r="L164" s="4" t="str">
        <f>IF(AND(E164&gt;G164, J164&gt;'P&amp;L'!$C$23, COUNTIF($L$4:L163, "Long")=COUNTIF($N$4:N163, "Close")), "Long", "")</f>
        <v/>
      </c>
      <c r="M164" s="4" t="str">
        <f>IF(L164="Long", E164*'P&amp;L'!$C$21,"")</f>
        <v/>
      </c>
      <c r="N164" s="4" t="str">
        <f>IF(AND(J164&gt;'P&amp;L'!$C$24, COUNTIF($L$4:L163, "Long") &gt; COUNTIF($N$4:N163, "Close")), "Close", "")</f>
        <v>Close</v>
      </c>
      <c r="O164" s="5" t="str">
        <f>IF(AND(E164&lt;G164, J164&lt;'P&amp;L'!$C$24, J163&gt;'P&amp;L'!$C$24, COUNTIF($O$4:O163, "Short")=COUNTIF($Q$4:Q163, "Close")), "Short", "")</f>
        <v/>
      </c>
      <c r="P164" s="5" t="str">
        <f>IF(O164="Short", E164*'P&amp;L'!$C$21, "")</f>
        <v/>
      </c>
      <c r="Q164" s="5" t="str">
        <f>IF(AND(J164&gt;'P&amp;L'!$C$23, COUNTIF($O$4:O163, "Short") &gt; COUNTIF($Q$4:Q163, "Close")), "Close", "")</f>
        <v/>
      </c>
      <c r="R164" s="6">
        <v>103063.5</v>
      </c>
    </row>
    <row r="165" spans="1:18" x14ac:dyDescent="0.35">
      <c r="A165" s="12">
        <v>42808</v>
      </c>
      <c r="B165" s="1">
        <v>843.64</v>
      </c>
      <c r="C165" s="1">
        <v>847.24</v>
      </c>
      <c r="D165" s="1">
        <v>840.8</v>
      </c>
      <c r="E165" s="1">
        <v>845.62</v>
      </c>
      <c r="F165" s="1">
        <v>780198</v>
      </c>
      <c r="G165" s="6">
        <f t="shared" si="14"/>
        <v>832.0114285714285</v>
      </c>
      <c r="H165" s="6">
        <f t="shared" si="10"/>
        <v>853.5</v>
      </c>
      <c r="I165" s="6">
        <f t="shared" si="11"/>
        <v>803.37</v>
      </c>
      <c r="J165" s="6">
        <f t="shared" si="12"/>
        <v>84.280869738679442</v>
      </c>
      <c r="K165" s="6">
        <f t="shared" si="13"/>
        <v>87.432675044883311</v>
      </c>
      <c r="L165" s="4" t="str">
        <f>IF(AND(E165&gt;G165, J165&gt;'P&amp;L'!$C$23, COUNTIF($L$4:L164, "Long")=COUNTIF($N$4:N164, "Close")), "Long", "")</f>
        <v>Long</v>
      </c>
      <c r="M165" s="4">
        <f>IF(L165="Long", E165*'P&amp;L'!$C$21,"")</f>
        <v>42281</v>
      </c>
      <c r="N165" s="4" t="str">
        <f>IF(AND(J165&gt;'P&amp;L'!$C$24, COUNTIF($L$4:L164, "Long") &gt; COUNTIF($N$4:N164, "Close")), "Close", "")</f>
        <v/>
      </c>
      <c r="O165" s="5" t="str">
        <f>IF(AND(E165&lt;G165, J165&lt;'P&amp;L'!$C$24, J164&gt;'P&amp;L'!$C$24, COUNTIF($O$4:O164, "Short")=COUNTIF($Q$4:Q164, "Close")), "Short", "")</f>
        <v/>
      </c>
      <c r="P165" s="5" t="str">
        <f>IF(O165="Short", E165*'P&amp;L'!$C$21, "")</f>
        <v/>
      </c>
      <c r="Q165" s="5" t="str">
        <f>IF(AND(J165&gt;'P&amp;L'!$C$23, COUNTIF($O$4:O164, "Short") &gt; COUNTIF($Q$4:Q164, "Close")), "Close", "")</f>
        <v/>
      </c>
      <c r="R165" s="6">
        <v>60782.5</v>
      </c>
    </row>
    <row r="166" spans="1:18" x14ac:dyDescent="0.35">
      <c r="A166" s="12">
        <v>42807</v>
      </c>
      <c r="B166" s="1">
        <v>844</v>
      </c>
      <c r="C166" s="1">
        <v>848.68</v>
      </c>
      <c r="D166" s="1">
        <v>843.25</v>
      </c>
      <c r="E166" s="1">
        <v>845.54</v>
      </c>
      <c r="F166" s="1">
        <v>1223647</v>
      </c>
      <c r="G166" s="6">
        <f t="shared" si="14"/>
        <v>833.06809523809545</v>
      </c>
      <c r="H166" s="6">
        <f t="shared" si="10"/>
        <v>853.5</v>
      </c>
      <c r="I166" s="6">
        <f t="shared" si="11"/>
        <v>803.37</v>
      </c>
      <c r="J166" s="6">
        <f t="shared" si="12"/>
        <v>84.121284659884239</v>
      </c>
      <c r="K166" s="6">
        <f t="shared" si="13"/>
        <v>85.278276481149021</v>
      </c>
      <c r="L166" s="4" t="str">
        <f>IF(AND(E166&gt;G166, J166&gt;'P&amp;L'!$C$23, COUNTIF($L$4:L165, "Long")=COUNTIF($N$4:N165, "Close")), "Long", "")</f>
        <v/>
      </c>
      <c r="M166" s="4" t="str">
        <f>IF(L166="Long", E166*'P&amp;L'!$C$21,"")</f>
        <v/>
      </c>
      <c r="N166" s="4" t="str">
        <f>IF(AND(J166&gt;'P&amp;L'!$C$24, COUNTIF($L$4:L165, "Long") &gt; COUNTIF($N$4:N165, "Close")), "Close", "")</f>
        <v>Close</v>
      </c>
      <c r="O166" s="5" t="str">
        <f>IF(AND(E166&lt;G166, J166&lt;'P&amp;L'!$C$24, J165&gt;'P&amp;L'!$C$24, COUNTIF($O$4:O165, "Short")=COUNTIF($Q$4:Q165, "Close")), "Short", "")</f>
        <v/>
      </c>
      <c r="P166" s="5" t="str">
        <f>IF(O166="Short", E166*'P&amp;L'!$C$21, "")</f>
        <v/>
      </c>
      <c r="Q166" s="5" t="str">
        <f>IF(AND(J166&gt;'P&amp;L'!$C$23, COUNTIF($O$4:O165, "Short") &gt; COUNTIF($Q$4:Q165, "Close")), "Close", "")</f>
        <v/>
      </c>
      <c r="R166" s="6">
        <v>103059.5</v>
      </c>
    </row>
    <row r="167" spans="1:18" x14ac:dyDescent="0.35">
      <c r="A167" s="12">
        <v>42804</v>
      </c>
      <c r="B167" s="1">
        <v>843.28</v>
      </c>
      <c r="C167" s="1">
        <v>844.91</v>
      </c>
      <c r="D167" s="1">
        <v>839.5</v>
      </c>
      <c r="E167" s="1">
        <v>843.25</v>
      </c>
      <c r="F167" s="1">
        <v>1704024</v>
      </c>
      <c r="G167" s="6">
        <f t="shared" si="14"/>
        <v>833.95000000000016</v>
      </c>
      <c r="H167" s="6">
        <f t="shared" si="10"/>
        <v>853.5</v>
      </c>
      <c r="I167" s="6">
        <f t="shared" si="11"/>
        <v>803.37</v>
      </c>
      <c r="J167" s="6">
        <f t="shared" si="12"/>
        <v>79.553161779373625</v>
      </c>
      <c r="K167" s="6">
        <f t="shared" si="13"/>
        <v>82.651772059312435</v>
      </c>
      <c r="L167" s="4" t="str">
        <f>IF(AND(E167&gt;G167, J167&gt;'P&amp;L'!$C$23, COUNTIF($L$4:L166, "Long")=COUNTIF($N$4:N166, "Close")), "Long", "")</f>
        <v>Long</v>
      </c>
      <c r="M167" s="4">
        <f>IF(L167="Long", E167*'P&amp;L'!$C$21,"")</f>
        <v>42162.5</v>
      </c>
      <c r="N167" s="4" t="str">
        <f>IF(AND(J167&gt;'P&amp;L'!$C$24, COUNTIF($L$4:L166, "Long") &gt; COUNTIF($N$4:N166, "Close")), "Close", "")</f>
        <v/>
      </c>
      <c r="O167" s="5" t="str">
        <f>IF(AND(E167&lt;G167, J167&lt;'P&amp;L'!$C$24, J166&gt;'P&amp;L'!$C$24, COUNTIF($O$4:O166, "Short")=COUNTIF($Q$4:Q166, "Close")), "Short", "")</f>
        <v/>
      </c>
      <c r="P167" s="5" t="str">
        <f>IF(O167="Short", E167*'P&amp;L'!$C$21, "")</f>
        <v/>
      </c>
      <c r="Q167" s="5" t="str">
        <f>IF(AND(J167&gt;'P&amp;L'!$C$23, COUNTIF($O$4:O166, "Short") &gt; COUNTIF($Q$4:Q166, "Close")), "Close", "")</f>
        <v/>
      </c>
      <c r="R167" s="6">
        <v>60897</v>
      </c>
    </row>
    <row r="168" spans="1:18" x14ac:dyDescent="0.35">
      <c r="A168" s="12">
        <v>42803</v>
      </c>
      <c r="B168" s="1">
        <v>836</v>
      </c>
      <c r="C168" s="1">
        <v>842</v>
      </c>
      <c r="D168" s="1">
        <v>834.21</v>
      </c>
      <c r="E168" s="1">
        <v>838.68</v>
      </c>
      <c r="F168" s="1">
        <v>1261517</v>
      </c>
      <c r="G168" s="6">
        <f t="shared" si="14"/>
        <v>834.61714285714299</v>
      </c>
      <c r="H168" s="6">
        <f t="shared" si="10"/>
        <v>853.5</v>
      </c>
      <c r="I168" s="6">
        <f t="shared" si="11"/>
        <v>803.37</v>
      </c>
      <c r="J168" s="6">
        <f t="shared" si="12"/>
        <v>70.436864153201569</v>
      </c>
      <c r="K168" s="6">
        <f t="shared" si="13"/>
        <v>78.037103530819806</v>
      </c>
      <c r="L168" s="4" t="str">
        <f>IF(AND(E168&gt;G168, J168&gt;'P&amp;L'!$C$23, COUNTIF($L$4:L167, "Long")=COUNTIF($N$4:N167, "Close")), "Long", "")</f>
        <v/>
      </c>
      <c r="M168" s="4" t="str">
        <f>IF(L168="Long", E168*'P&amp;L'!$C$21,"")</f>
        <v/>
      </c>
      <c r="N168" s="4" t="str">
        <f>IF(AND(J168&gt;'P&amp;L'!$C$24, COUNTIF($L$4:L167, "Long") &gt; COUNTIF($N$4:N167, "Close")), "Close", "")</f>
        <v>Close</v>
      </c>
      <c r="O168" s="5" t="str">
        <f>IF(AND(E168&lt;G168, J168&lt;'P&amp;L'!$C$24, J167&gt;'P&amp;L'!$C$24, COUNTIF($O$4:O167, "Short")=COUNTIF($Q$4:Q167, "Close")), "Short", "")</f>
        <v/>
      </c>
      <c r="P168" s="5" t="str">
        <f>IF(O168="Short", E168*'P&amp;L'!$C$21, "")</f>
        <v/>
      </c>
      <c r="Q168" s="5" t="str">
        <f>IF(AND(J168&gt;'P&amp;L'!$C$23, COUNTIF($O$4:O167, "Short") &gt; COUNTIF($Q$4:Q167, "Close")), "Close", "")</f>
        <v/>
      </c>
      <c r="R168" s="6">
        <v>102831</v>
      </c>
    </row>
    <row r="169" spans="1:18" x14ac:dyDescent="0.35">
      <c r="A169" s="12">
        <v>42802</v>
      </c>
      <c r="B169" s="1">
        <v>833.51</v>
      </c>
      <c r="C169" s="1">
        <v>838.15</v>
      </c>
      <c r="D169" s="1">
        <v>831.79</v>
      </c>
      <c r="E169" s="1">
        <v>835.37</v>
      </c>
      <c r="F169" s="1">
        <v>989773</v>
      </c>
      <c r="G169" s="6">
        <f t="shared" si="14"/>
        <v>834.97380952380968</v>
      </c>
      <c r="H169" s="6">
        <f t="shared" si="10"/>
        <v>853.5</v>
      </c>
      <c r="I169" s="6">
        <f t="shared" si="11"/>
        <v>803.37</v>
      </c>
      <c r="J169" s="6">
        <f t="shared" si="12"/>
        <v>63.834031518053067</v>
      </c>
      <c r="K169" s="6">
        <f t="shared" si="13"/>
        <v>71.274685816876072</v>
      </c>
      <c r="L169" s="4" t="str">
        <f>IF(AND(E169&gt;G169, J169&gt;'P&amp;L'!$C$23, COUNTIF($L$4:L168, "Long")=COUNTIF($N$4:N168, "Close")), "Long", "")</f>
        <v>Long</v>
      </c>
      <c r="M169" s="4">
        <f>IF(L169="Long", E169*'P&amp;L'!$C$21,"")</f>
        <v>41768.5</v>
      </c>
      <c r="N169" s="4" t="str">
        <f>IF(AND(J169&gt;'P&amp;L'!$C$24, COUNTIF($L$4:L168, "Long") &gt; COUNTIF($N$4:N168, "Close")), "Close", "")</f>
        <v/>
      </c>
      <c r="O169" s="5" t="str">
        <f>IF(AND(E169&lt;G169, J169&lt;'P&amp;L'!$C$24, J168&gt;'P&amp;L'!$C$24, COUNTIF($O$4:O168, "Short")=COUNTIF($Q$4:Q168, "Close")), "Short", "")</f>
        <v/>
      </c>
      <c r="P169" s="5" t="str">
        <f>IF(O169="Short", E169*'P&amp;L'!$C$21, "")</f>
        <v/>
      </c>
      <c r="Q169" s="5" t="str">
        <f>IF(AND(J169&gt;'P&amp;L'!$C$23, COUNTIF($O$4:O168, "Short") &gt; COUNTIF($Q$4:Q168, "Close")), "Close", "")</f>
        <v/>
      </c>
      <c r="R169" s="6">
        <v>61062.5</v>
      </c>
    </row>
    <row r="170" spans="1:18" x14ac:dyDescent="0.35">
      <c r="A170" s="12">
        <v>42801</v>
      </c>
      <c r="B170" s="1">
        <v>827.4</v>
      </c>
      <c r="C170" s="1">
        <v>833.41</v>
      </c>
      <c r="D170" s="1">
        <v>826.52</v>
      </c>
      <c r="E170" s="1">
        <v>831.91</v>
      </c>
      <c r="F170" s="1">
        <v>1037630</v>
      </c>
      <c r="G170" s="6">
        <f t="shared" si="14"/>
        <v>834.99761904761931</v>
      </c>
      <c r="H170" s="6">
        <f t="shared" si="10"/>
        <v>853.5</v>
      </c>
      <c r="I170" s="6">
        <f t="shared" si="11"/>
        <v>803.37</v>
      </c>
      <c r="J170" s="6">
        <f t="shared" si="12"/>
        <v>56.931976860163502</v>
      </c>
      <c r="K170" s="6">
        <f t="shared" si="13"/>
        <v>63.734290843806043</v>
      </c>
      <c r="L170" s="4" t="str">
        <f>IF(AND(E170&gt;G170, J170&gt;'P&amp;L'!$C$23, COUNTIF($L$4:L169, "Long")=COUNTIF($N$4:N169, "Close")), "Long", "")</f>
        <v/>
      </c>
      <c r="M170" s="4" t="str">
        <f>IF(L170="Long", E170*'P&amp;L'!$C$21,"")</f>
        <v/>
      </c>
      <c r="N170" s="4" t="str">
        <f>IF(AND(J170&gt;'P&amp;L'!$C$24, COUNTIF($L$4:L169, "Long") &gt; COUNTIF($N$4:N169, "Close")), "Close", "")</f>
        <v>Close</v>
      </c>
      <c r="O170" s="5" t="str">
        <f>IF(AND(E170&lt;G170, J170&lt;'P&amp;L'!$C$24, J169&gt;'P&amp;L'!$C$24, COUNTIF($O$4:O169, "Short")=COUNTIF($Q$4:Q169, "Close")), "Short", "")</f>
        <v/>
      </c>
      <c r="P170" s="5" t="str">
        <f>IF(O170="Short", E170*'P&amp;L'!$C$21, "")</f>
        <v/>
      </c>
      <c r="Q170" s="5" t="str">
        <f>IF(AND(J170&gt;'P&amp;L'!$C$23, COUNTIF($O$4:O169, "Short") &gt; COUNTIF($Q$4:Q169, "Close")), "Close", "")</f>
        <v/>
      </c>
      <c r="R170" s="6">
        <v>102658</v>
      </c>
    </row>
    <row r="171" spans="1:18" x14ac:dyDescent="0.35">
      <c r="A171" s="12">
        <v>42800</v>
      </c>
      <c r="B171" s="1">
        <v>826.95</v>
      </c>
      <c r="C171" s="1">
        <v>828.88</v>
      </c>
      <c r="D171" s="1">
        <v>822.4</v>
      </c>
      <c r="E171" s="1">
        <v>827.78</v>
      </c>
      <c r="F171" s="1">
        <v>1109037</v>
      </c>
      <c r="G171" s="6">
        <f t="shared" si="14"/>
        <v>834.67428571428593</v>
      </c>
      <c r="H171" s="6">
        <f t="shared" si="10"/>
        <v>853.5</v>
      </c>
      <c r="I171" s="6">
        <f t="shared" si="11"/>
        <v>808.89</v>
      </c>
      <c r="J171" s="6">
        <f t="shared" si="12"/>
        <v>42.344765747590188</v>
      </c>
      <c r="K171" s="6">
        <f t="shared" si="13"/>
        <v>54.370258041935585</v>
      </c>
      <c r="L171" s="4" t="str">
        <f>IF(AND(E171&gt;G171, J171&gt;'P&amp;L'!$C$23, COUNTIF($L$4:L170, "Long")=COUNTIF($N$4:N170, "Close")), "Long", "")</f>
        <v/>
      </c>
      <c r="M171" s="4" t="str">
        <f>IF(L171="Long", E171*'P&amp;L'!$C$21,"")</f>
        <v/>
      </c>
      <c r="N171" s="4" t="str">
        <f>IF(AND(J171&gt;'P&amp;L'!$C$24, COUNTIF($L$4:L170, "Long") &gt; COUNTIF($N$4:N170, "Close")), "Close", "")</f>
        <v/>
      </c>
      <c r="O171" s="5" t="str">
        <f>IF(AND(E171&lt;G171, J171&lt;'P&amp;L'!$C$24, J170&gt;'P&amp;L'!$C$24, COUNTIF($O$4:O170, "Short")=COUNTIF($Q$4:Q170, "Close")), "Short", "")</f>
        <v/>
      </c>
      <c r="P171" s="5" t="str">
        <f>IF(O171="Short", E171*'P&amp;L'!$C$21, "")</f>
        <v/>
      </c>
      <c r="Q171" s="5" t="str">
        <f>IF(AND(J171&gt;'P&amp;L'!$C$23, COUNTIF($O$4:O170, "Short") &gt; COUNTIF($Q$4:Q170, "Close")), "Close", "")</f>
        <v/>
      </c>
      <c r="R171" s="6">
        <v>102658</v>
      </c>
    </row>
    <row r="172" spans="1:18" x14ac:dyDescent="0.35">
      <c r="A172" s="12">
        <v>42797</v>
      </c>
      <c r="B172" s="1">
        <v>830.56</v>
      </c>
      <c r="C172" s="1">
        <v>831.36</v>
      </c>
      <c r="D172" s="1">
        <v>825.75</v>
      </c>
      <c r="E172" s="1">
        <v>829.08</v>
      </c>
      <c r="F172" s="1">
        <v>896378</v>
      </c>
      <c r="G172" s="6">
        <f t="shared" si="14"/>
        <v>834.22333333333358</v>
      </c>
      <c r="H172" s="6">
        <f t="shared" si="10"/>
        <v>853.5</v>
      </c>
      <c r="I172" s="6">
        <f t="shared" si="11"/>
        <v>812.26</v>
      </c>
      <c r="J172" s="6">
        <f t="shared" si="12"/>
        <v>40.785645004849776</v>
      </c>
      <c r="K172" s="6">
        <f t="shared" si="13"/>
        <v>46.687462537534486</v>
      </c>
      <c r="L172" s="4" t="str">
        <f>IF(AND(E172&gt;G172, J172&gt;'P&amp;L'!$C$23, COUNTIF($L$4:L171, "Long")=COUNTIF($N$4:N171, "Close")), "Long", "")</f>
        <v/>
      </c>
      <c r="M172" s="4" t="str">
        <f>IF(L172="Long", E172*'P&amp;L'!$C$21,"")</f>
        <v/>
      </c>
      <c r="N172" s="4" t="str">
        <f>IF(AND(J172&gt;'P&amp;L'!$C$24, COUNTIF($L$4:L171, "Long") &gt; COUNTIF($N$4:N171, "Close")), "Close", "")</f>
        <v/>
      </c>
      <c r="O172" s="5" t="str">
        <f>IF(AND(E172&lt;G172, J172&lt;'P&amp;L'!$C$24, J171&gt;'P&amp;L'!$C$24, COUNTIF($O$4:O171, "Short")=COUNTIF($Q$4:Q171, "Close")), "Short", "")</f>
        <v/>
      </c>
      <c r="P172" s="5" t="str">
        <f>IF(O172="Short", E172*'P&amp;L'!$C$21, "")</f>
        <v/>
      </c>
      <c r="Q172" s="5" t="str">
        <f>IF(AND(J172&gt;'P&amp;L'!$C$23, COUNTIF($O$4:O171, "Short") &gt; COUNTIF($Q$4:Q171, "Close")), "Close", "")</f>
        <v/>
      </c>
      <c r="R172" s="6">
        <v>102658</v>
      </c>
    </row>
    <row r="173" spans="1:18" x14ac:dyDescent="0.35">
      <c r="A173" s="12">
        <v>42796</v>
      </c>
      <c r="B173" s="1">
        <v>833.85</v>
      </c>
      <c r="C173" s="1">
        <v>834.51</v>
      </c>
      <c r="D173" s="1">
        <v>829.64</v>
      </c>
      <c r="E173" s="1">
        <v>830.63</v>
      </c>
      <c r="F173" s="1">
        <v>942476</v>
      </c>
      <c r="G173" s="6">
        <f t="shared" si="14"/>
        <v>834.27428571428595</v>
      </c>
      <c r="H173" s="6">
        <f t="shared" si="10"/>
        <v>853.5</v>
      </c>
      <c r="I173" s="6">
        <f t="shared" si="11"/>
        <v>822.4</v>
      </c>
      <c r="J173" s="6">
        <f t="shared" si="12"/>
        <v>26.463022508038627</v>
      </c>
      <c r="K173" s="6">
        <f t="shared" si="13"/>
        <v>36.531144420159528</v>
      </c>
      <c r="L173" s="4" t="str">
        <f>IF(AND(E173&gt;G173, J173&gt;'P&amp;L'!$C$23, COUNTIF($L$4:L172, "Long")=COUNTIF($N$4:N172, "Close")), "Long", "")</f>
        <v/>
      </c>
      <c r="M173" s="4" t="str">
        <f>IF(L173="Long", E173*'P&amp;L'!$C$21,"")</f>
        <v/>
      </c>
      <c r="N173" s="4" t="str">
        <f>IF(AND(J173&gt;'P&amp;L'!$C$24, COUNTIF($L$4:L172, "Long") &gt; COUNTIF($N$4:N172, "Close")), "Close", "")</f>
        <v/>
      </c>
      <c r="O173" s="5" t="str">
        <f>IF(AND(E173&lt;G173, J173&lt;'P&amp;L'!$C$24, J172&gt;'P&amp;L'!$C$24, COUNTIF($O$4:O172, "Short")=COUNTIF($Q$4:Q172, "Close")), "Short", "")</f>
        <v>Short</v>
      </c>
      <c r="P173" s="5">
        <f>IF(O173="Short", E173*'P&amp;L'!$C$21, "")</f>
        <v>41531.5</v>
      </c>
      <c r="Q173" s="5" t="str">
        <f>IF(AND(J173&gt;'P&amp;L'!$C$23, COUNTIF($O$4:O172, "Short") &gt; COUNTIF($Q$4:Q172, "Close")), "Close", "")</f>
        <v/>
      </c>
      <c r="R173" s="6">
        <v>144189.5</v>
      </c>
    </row>
    <row r="174" spans="1:18" x14ac:dyDescent="0.35">
      <c r="A174" s="12">
        <v>42795</v>
      </c>
      <c r="B174" s="1">
        <v>828.85</v>
      </c>
      <c r="C174" s="1">
        <v>836.26</v>
      </c>
      <c r="D174" s="1">
        <v>827.26</v>
      </c>
      <c r="E174" s="1">
        <v>835.24</v>
      </c>
      <c r="F174" s="1">
        <v>1496540</v>
      </c>
      <c r="G174" s="6">
        <f t="shared" si="14"/>
        <v>834.45238095238108</v>
      </c>
      <c r="H174" s="6">
        <f t="shared" si="10"/>
        <v>853.5</v>
      </c>
      <c r="I174" s="6">
        <f t="shared" si="11"/>
        <v>822.4</v>
      </c>
      <c r="J174" s="6">
        <f t="shared" si="12"/>
        <v>41.28617363344059</v>
      </c>
      <c r="K174" s="6">
        <f t="shared" si="13"/>
        <v>36.178280382109669</v>
      </c>
      <c r="L174" s="4" t="str">
        <f>IF(AND(E174&gt;G174, J174&gt;'P&amp;L'!$C$23, COUNTIF($L$4:L173, "Long")=COUNTIF($N$4:N173, "Close")), "Long", "")</f>
        <v>Long</v>
      </c>
      <c r="M174" s="4">
        <f>IF(L174="Long", E174*'P&amp;L'!$C$21,"")</f>
        <v>41762</v>
      </c>
      <c r="N174" s="4" t="str">
        <f>IF(AND(J174&gt;'P&amp;L'!$C$24, COUNTIF($L$4:L173, "Long") &gt; COUNTIF($N$4:N173, "Close")), "Close", "")</f>
        <v/>
      </c>
      <c r="O174" s="5" t="str">
        <f>IF(AND(E174&lt;G174, J174&lt;'P&amp;L'!$C$24, J173&gt;'P&amp;L'!$C$24, COUNTIF($O$4:O173, "Short")=COUNTIF($Q$4:Q173, "Close")), "Short", "")</f>
        <v/>
      </c>
      <c r="P174" s="5" t="str">
        <f>IF(O174="Short", E174*'P&amp;L'!$C$21, "")</f>
        <v/>
      </c>
      <c r="Q174" s="5" t="str">
        <f>IF(AND(J174&gt;'P&amp;L'!$C$23, COUNTIF($O$4:O173, "Short") &gt; COUNTIF($Q$4:Q173, "Close")), "Close", "")</f>
        <v>Close</v>
      </c>
      <c r="R174" s="6">
        <v>102427.5</v>
      </c>
    </row>
    <row r="175" spans="1:18" x14ac:dyDescent="0.35">
      <c r="A175" s="12">
        <v>42794</v>
      </c>
      <c r="B175" s="1">
        <v>825.61</v>
      </c>
      <c r="C175" s="1">
        <v>828.54</v>
      </c>
      <c r="D175" s="1">
        <v>820.2</v>
      </c>
      <c r="E175" s="1">
        <v>823.21</v>
      </c>
      <c r="F175" s="1">
        <v>2260769</v>
      </c>
      <c r="G175" s="6">
        <f t="shared" si="14"/>
        <v>834.06190476190488</v>
      </c>
      <c r="H175" s="6">
        <f t="shared" si="10"/>
        <v>853.4</v>
      </c>
      <c r="I175" s="6">
        <f t="shared" si="11"/>
        <v>820.2</v>
      </c>
      <c r="J175" s="6">
        <f t="shared" si="12"/>
        <v>9.0662650602409549</v>
      </c>
      <c r="K175" s="6">
        <f t="shared" si="13"/>
        <v>25.605153733906722</v>
      </c>
      <c r="L175" s="4" t="str">
        <f>IF(AND(E175&gt;G175, J175&gt;'P&amp;L'!$C$23, COUNTIF($L$4:L174, "Long")=COUNTIF($N$4:N174, "Close")), "Long", "")</f>
        <v/>
      </c>
      <c r="M175" s="4" t="str">
        <f>IF(L175="Long", E175*'P&amp;L'!$C$21,"")</f>
        <v/>
      </c>
      <c r="N175" s="4" t="str">
        <f>IF(AND(J175&gt;'P&amp;L'!$C$24, COUNTIF($L$4:L174, "Long") &gt; COUNTIF($N$4:N174, "Close")), "Close", "")</f>
        <v/>
      </c>
      <c r="O175" s="5" t="str">
        <f>IF(AND(E175&lt;G175, J175&lt;'P&amp;L'!$C$24, J174&gt;'P&amp;L'!$C$24, COUNTIF($O$4:O174, "Short")=COUNTIF($Q$4:Q174, "Close")), "Short", "")</f>
        <v>Short</v>
      </c>
      <c r="P175" s="5">
        <f>IF(O175="Short", E175*'P&amp;L'!$C$21, "")</f>
        <v>41160.5</v>
      </c>
      <c r="Q175" s="5" t="str">
        <f>IF(AND(J175&gt;'P&amp;L'!$C$23, COUNTIF($O$4:O174, "Short") &gt; COUNTIF($Q$4:Q174, "Close")), "Close", "")</f>
        <v/>
      </c>
      <c r="R175" s="6">
        <v>143588</v>
      </c>
    </row>
    <row r="176" spans="1:18" x14ac:dyDescent="0.35">
      <c r="A176" s="12">
        <v>42793</v>
      </c>
      <c r="B176" s="1">
        <v>824.55</v>
      </c>
      <c r="C176" s="1">
        <v>830.5</v>
      </c>
      <c r="D176" s="1">
        <v>824</v>
      </c>
      <c r="E176" s="1">
        <v>829.28</v>
      </c>
      <c r="F176" s="1">
        <v>1101466</v>
      </c>
      <c r="G176" s="6">
        <f t="shared" si="14"/>
        <v>834.46</v>
      </c>
      <c r="H176" s="6">
        <f t="shared" si="10"/>
        <v>853.4</v>
      </c>
      <c r="I176" s="6">
        <f t="shared" si="11"/>
        <v>820.2</v>
      </c>
      <c r="J176" s="6">
        <f t="shared" si="12"/>
        <v>27.349397590361285</v>
      </c>
      <c r="K176" s="6">
        <f t="shared" si="13"/>
        <v>25.900612094680941</v>
      </c>
      <c r="L176" s="4" t="str">
        <f>IF(AND(E176&gt;G176, J176&gt;'P&amp;L'!$C$23, COUNTIF($L$4:L175, "Long")=COUNTIF($N$4:N175, "Close")), "Long", "")</f>
        <v/>
      </c>
      <c r="M176" s="4" t="str">
        <f>IF(L176="Long", E176*'P&amp;L'!$C$21,"")</f>
        <v/>
      </c>
      <c r="N176" s="4" t="str">
        <f>IF(AND(J176&gt;'P&amp;L'!$C$24, COUNTIF($L$4:L175, "Long") &gt; COUNTIF($N$4:N175, "Close")), "Close", "")</f>
        <v/>
      </c>
      <c r="O176" s="5" t="str">
        <f>IF(AND(E176&lt;G176, J176&lt;'P&amp;L'!$C$24, J175&gt;'P&amp;L'!$C$24, COUNTIF($O$4:O175, "Short")=COUNTIF($Q$4:Q175, "Close")), "Short", "")</f>
        <v/>
      </c>
      <c r="P176" s="5" t="str">
        <f>IF(O176="Short", E176*'P&amp;L'!$C$21, "")</f>
        <v/>
      </c>
      <c r="Q176" s="5" t="str">
        <f>IF(AND(J176&gt;'P&amp;L'!$C$23, COUNTIF($O$4:O175, "Short") &gt; COUNTIF($Q$4:Q175, "Close")), "Close", "")</f>
        <v>Close</v>
      </c>
      <c r="R176" s="6">
        <v>102124</v>
      </c>
    </row>
    <row r="177" spans="1:18" x14ac:dyDescent="0.35">
      <c r="A177" s="12">
        <v>42790</v>
      </c>
      <c r="B177" s="1">
        <v>827.73</v>
      </c>
      <c r="C177" s="1">
        <v>829</v>
      </c>
      <c r="D177" s="1">
        <v>824.2</v>
      </c>
      <c r="E177" s="1">
        <v>828.64</v>
      </c>
      <c r="F177" s="1">
        <v>1392202</v>
      </c>
      <c r="G177" s="6">
        <f t="shared" si="14"/>
        <v>834.89476190476182</v>
      </c>
      <c r="H177" s="6">
        <f t="shared" si="10"/>
        <v>850.85</v>
      </c>
      <c r="I177" s="6">
        <f t="shared" si="11"/>
        <v>820.2</v>
      </c>
      <c r="J177" s="6">
        <f t="shared" si="12"/>
        <v>27.536704730831801</v>
      </c>
      <c r="K177" s="6">
        <f t="shared" si="13"/>
        <v>21.317455793811348</v>
      </c>
      <c r="L177" s="4" t="str">
        <f>IF(AND(E177&gt;G177, J177&gt;'P&amp;L'!$C$23, COUNTIF($L$4:L176, "Long")=COUNTIF($N$4:N176, "Close")), "Long", "")</f>
        <v/>
      </c>
      <c r="M177" s="4" t="str">
        <f>IF(L177="Long", E177*'P&amp;L'!$C$21,"")</f>
        <v/>
      </c>
      <c r="N177" s="4" t="str">
        <f>IF(AND(J177&gt;'P&amp;L'!$C$24, COUNTIF($L$4:L176, "Long") &gt; COUNTIF($N$4:N176, "Close")), "Close", "")</f>
        <v/>
      </c>
      <c r="O177" s="5" t="str">
        <f>IF(AND(E177&lt;G177, J177&lt;'P&amp;L'!$C$24, J176&gt;'P&amp;L'!$C$24, COUNTIF($O$4:O176, "Short")=COUNTIF($Q$4:Q176, "Close")), "Short", "")</f>
        <v/>
      </c>
      <c r="P177" s="5" t="str">
        <f>IF(O177="Short", E177*'P&amp;L'!$C$21, "")</f>
        <v/>
      </c>
      <c r="Q177" s="5" t="str">
        <f>IF(AND(J177&gt;'P&amp;L'!$C$23, COUNTIF($O$4:O176, "Short") &gt; COUNTIF($Q$4:Q176, "Close")), "Close", "")</f>
        <v/>
      </c>
      <c r="R177" s="6">
        <v>102124</v>
      </c>
    </row>
    <row r="178" spans="1:18" x14ac:dyDescent="0.35">
      <c r="A178" s="12">
        <v>42789</v>
      </c>
      <c r="B178" s="1">
        <v>830.12</v>
      </c>
      <c r="C178" s="1">
        <v>832.46</v>
      </c>
      <c r="D178" s="1">
        <v>822.88</v>
      </c>
      <c r="E178" s="1">
        <v>831.33</v>
      </c>
      <c r="F178" s="1">
        <v>1472771</v>
      </c>
      <c r="G178" s="6">
        <f t="shared" si="14"/>
        <v>835.69952380952407</v>
      </c>
      <c r="H178" s="6">
        <f t="shared" si="10"/>
        <v>848.68</v>
      </c>
      <c r="I178" s="6">
        <f t="shared" si="11"/>
        <v>820.2</v>
      </c>
      <c r="J178" s="6">
        <f t="shared" si="12"/>
        <v>39.080056179775397</v>
      </c>
      <c r="K178" s="6">
        <f t="shared" si="13"/>
        <v>31.322052833656159</v>
      </c>
      <c r="L178" s="4" t="str">
        <f>IF(AND(E178&gt;G178, J178&gt;'P&amp;L'!$C$23, COUNTIF($L$4:L177, "Long")=COUNTIF($N$4:N177, "Close")), "Long", "")</f>
        <v/>
      </c>
      <c r="M178" s="4" t="str">
        <f>IF(L178="Long", E178*'P&amp;L'!$C$21,"")</f>
        <v/>
      </c>
      <c r="N178" s="4" t="str">
        <f>IF(AND(J178&gt;'P&amp;L'!$C$24, COUNTIF($L$4:L177, "Long") &gt; COUNTIF($N$4:N177, "Close")), "Close", "")</f>
        <v/>
      </c>
      <c r="O178" s="5" t="str">
        <f>IF(AND(E178&lt;G178, J178&lt;'P&amp;L'!$C$24, J177&gt;'P&amp;L'!$C$24, COUNTIF($O$4:O177, "Short")=COUNTIF($Q$4:Q177, "Close")), "Short", "")</f>
        <v/>
      </c>
      <c r="P178" s="5" t="str">
        <f>IF(O178="Short", E178*'P&amp;L'!$C$21, "")</f>
        <v/>
      </c>
      <c r="Q178" s="5" t="str">
        <f>IF(AND(J178&gt;'P&amp;L'!$C$23, COUNTIF($O$4:O177, "Short") &gt; COUNTIF($Q$4:Q177, "Close")), "Close", "")</f>
        <v/>
      </c>
      <c r="R178" s="6">
        <v>102124</v>
      </c>
    </row>
    <row r="179" spans="1:18" x14ac:dyDescent="0.35">
      <c r="A179" s="12">
        <v>42788</v>
      </c>
      <c r="B179" s="1">
        <v>828.66</v>
      </c>
      <c r="C179" s="1">
        <v>833.25</v>
      </c>
      <c r="D179" s="1">
        <v>828.64</v>
      </c>
      <c r="E179" s="1">
        <v>830.76</v>
      </c>
      <c r="F179" s="1">
        <v>987248</v>
      </c>
      <c r="G179" s="6">
        <f t="shared" si="14"/>
        <v>836.3271428571428</v>
      </c>
      <c r="H179" s="6">
        <f t="shared" si="10"/>
        <v>848.68</v>
      </c>
      <c r="I179" s="6">
        <f t="shared" si="11"/>
        <v>820.2</v>
      </c>
      <c r="J179" s="6">
        <f t="shared" si="12"/>
        <v>37.078651685393197</v>
      </c>
      <c r="K179" s="6">
        <f t="shared" si="13"/>
        <v>34.565137532000129</v>
      </c>
      <c r="L179" s="4" t="str">
        <f>IF(AND(E179&gt;G179, J179&gt;'P&amp;L'!$C$23, COUNTIF($L$4:L178, "Long")=COUNTIF($N$4:N178, "Close")), "Long", "")</f>
        <v/>
      </c>
      <c r="M179" s="4" t="str">
        <f>IF(L179="Long", E179*'P&amp;L'!$C$21,"")</f>
        <v/>
      </c>
      <c r="N179" s="4" t="str">
        <f>IF(AND(J179&gt;'P&amp;L'!$C$24, COUNTIF($L$4:L178, "Long") &gt; COUNTIF($N$4:N178, "Close")), "Close", "")</f>
        <v/>
      </c>
      <c r="O179" s="5" t="str">
        <f>IF(AND(E179&lt;G179, J179&lt;'P&amp;L'!$C$24, J178&gt;'P&amp;L'!$C$24, COUNTIF($O$4:O178, "Short")=COUNTIF($Q$4:Q178, "Close")), "Short", "")</f>
        <v/>
      </c>
      <c r="P179" s="5" t="str">
        <f>IF(O179="Short", E179*'P&amp;L'!$C$21, "")</f>
        <v/>
      </c>
      <c r="Q179" s="5" t="str">
        <f>IF(AND(J179&gt;'P&amp;L'!$C$23, COUNTIF($O$4:O178, "Short") &gt; COUNTIF($Q$4:Q178, "Close")), "Close", "")</f>
        <v/>
      </c>
      <c r="R179" s="6">
        <v>102124</v>
      </c>
    </row>
    <row r="180" spans="1:18" x14ac:dyDescent="0.35">
      <c r="A180" s="12">
        <v>42787</v>
      </c>
      <c r="B180" s="1">
        <v>828.66</v>
      </c>
      <c r="C180" s="1">
        <v>833.45</v>
      </c>
      <c r="D180" s="1">
        <v>828.35</v>
      </c>
      <c r="E180" s="1">
        <v>831.66</v>
      </c>
      <c r="F180" s="1">
        <v>1262337</v>
      </c>
      <c r="G180" s="6">
        <f t="shared" si="14"/>
        <v>836.42571428571421</v>
      </c>
      <c r="H180" s="6">
        <f t="shared" si="10"/>
        <v>848.68</v>
      </c>
      <c r="I180" s="6">
        <f t="shared" si="11"/>
        <v>820.2</v>
      </c>
      <c r="J180" s="6">
        <f t="shared" si="12"/>
        <v>40.238764044943679</v>
      </c>
      <c r="K180" s="6">
        <f t="shared" si="13"/>
        <v>38.799157303370755</v>
      </c>
      <c r="L180" s="4" t="str">
        <f>IF(AND(E180&gt;G180, J180&gt;'P&amp;L'!$C$23, COUNTIF($L$4:L179, "Long")=COUNTIF($N$4:N179, "Close")), "Long", "")</f>
        <v/>
      </c>
      <c r="M180" s="4" t="str">
        <f>IF(L180="Long", E180*'P&amp;L'!$C$21,"")</f>
        <v/>
      </c>
      <c r="N180" s="4" t="str">
        <f>IF(AND(J180&gt;'P&amp;L'!$C$24, COUNTIF($L$4:L179, "Long") &gt; COUNTIF($N$4:N179, "Close")), "Close", "")</f>
        <v>Close</v>
      </c>
      <c r="O180" s="5" t="str">
        <f>IF(AND(E180&lt;G180, J180&lt;'P&amp;L'!$C$24, J179&gt;'P&amp;L'!$C$24, COUNTIF($O$4:O179, "Short")=COUNTIF($Q$4:Q179, "Close")), "Short", "")</f>
        <v/>
      </c>
      <c r="P180" s="5" t="str">
        <f>IF(O180="Short", E180*'P&amp;L'!$C$21, "")</f>
        <v/>
      </c>
      <c r="Q180" s="5" t="str">
        <f>IF(AND(J180&gt;'P&amp;L'!$C$23, COUNTIF($O$4:O179, "Short") &gt; COUNTIF($Q$4:Q179, "Close")), "Close", "")</f>
        <v/>
      </c>
      <c r="R180" s="6">
        <v>143707</v>
      </c>
    </row>
    <row r="181" spans="1:18" x14ac:dyDescent="0.35">
      <c r="A181" s="12">
        <v>42783</v>
      </c>
      <c r="B181" s="1">
        <v>823.02</v>
      </c>
      <c r="C181" s="1">
        <v>828.07</v>
      </c>
      <c r="D181" s="1">
        <v>821.66</v>
      </c>
      <c r="E181" s="1">
        <v>828.07</v>
      </c>
      <c r="F181" s="1">
        <v>1611039</v>
      </c>
      <c r="G181" s="6">
        <f t="shared" si="14"/>
        <v>836.31190476190488</v>
      </c>
      <c r="H181" s="6">
        <f t="shared" si="10"/>
        <v>844.91</v>
      </c>
      <c r="I181" s="6">
        <f t="shared" si="11"/>
        <v>820.2</v>
      </c>
      <c r="J181" s="6">
        <f t="shared" si="12"/>
        <v>31.849453662484944</v>
      </c>
      <c r="K181" s="6">
        <f t="shared" si="13"/>
        <v>36.388956464273939</v>
      </c>
      <c r="L181" s="4" t="str">
        <f>IF(AND(E181&gt;G181, J181&gt;'P&amp;L'!$C$23, COUNTIF($L$4:L180, "Long")=COUNTIF($N$4:N180, "Close")), "Long", "")</f>
        <v/>
      </c>
      <c r="M181" s="4" t="str">
        <f>IF(L181="Long", E181*'P&amp;L'!$C$21,"")</f>
        <v/>
      </c>
      <c r="N181" s="4" t="str">
        <f>IF(AND(J181&gt;'P&amp;L'!$C$24, COUNTIF($L$4:L180, "Long") &gt; COUNTIF($N$4:N180, "Close")), "Close", "")</f>
        <v/>
      </c>
      <c r="O181" s="5" t="str">
        <f>IF(AND(E181&lt;G181, J181&lt;'P&amp;L'!$C$24, J180&gt;'P&amp;L'!$C$24, COUNTIF($O$4:O180, "Short")=COUNTIF($Q$4:Q180, "Close")), "Short", "")</f>
        <v>Short</v>
      </c>
      <c r="P181" s="5">
        <f>IF(O181="Short", E181*'P&amp;L'!$C$21, "")</f>
        <v>41403.5</v>
      </c>
      <c r="Q181" s="5" t="str">
        <f>IF(AND(J181&gt;'P&amp;L'!$C$23, COUNTIF($O$4:O180, "Short") &gt; COUNTIF($Q$4:Q180, "Close")), "Close", "")</f>
        <v/>
      </c>
      <c r="R181" s="6">
        <v>185110.5</v>
      </c>
    </row>
    <row r="182" spans="1:18" x14ac:dyDescent="0.35">
      <c r="A182" s="12">
        <v>42782</v>
      </c>
      <c r="B182" s="1">
        <v>819.93</v>
      </c>
      <c r="C182" s="1">
        <v>824.4</v>
      </c>
      <c r="D182" s="1">
        <v>818.98</v>
      </c>
      <c r="E182" s="1">
        <v>824.16</v>
      </c>
      <c r="F182" s="1">
        <v>1287626</v>
      </c>
      <c r="G182" s="6">
        <f t="shared" si="14"/>
        <v>835.15761904761916</v>
      </c>
      <c r="H182" s="6">
        <f t="shared" si="10"/>
        <v>842</v>
      </c>
      <c r="I182" s="6">
        <f t="shared" si="11"/>
        <v>818.98</v>
      </c>
      <c r="J182" s="6">
        <f t="shared" si="12"/>
        <v>22.502172024326473</v>
      </c>
      <c r="K182" s="6">
        <f t="shared" si="13"/>
        <v>31.530129910585032</v>
      </c>
      <c r="L182" s="4" t="str">
        <f>IF(AND(E182&gt;G182, J182&gt;'P&amp;L'!$C$23, COUNTIF($L$4:L181, "Long")=COUNTIF($N$4:N181, "Close")), "Long", "")</f>
        <v/>
      </c>
      <c r="M182" s="4" t="str">
        <f>IF(L182="Long", E182*'P&amp;L'!$C$21,"")</f>
        <v/>
      </c>
      <c r="N182" s="4" t="str">
        <f>IF(AND(J182&gt;'P&amp;L'!$C$24, COUNTIF($L$4:L181, "Long") &gt; COUNTIF($N$4:N181, "Close")), "Close", "")</f>
        <v/>
      </c>
      <c r="O182" s="5" t="str">
        <f>IF(AND(E182&lt;G182, J182&lt;'P&amp;L'!$C$24, J181&gt;'P&amp;L'!$C$24, COUNTIF($O$4:O181, "Short")=COUNTIF($Q$4:Q181, "Close")), "Short", "")</f>
        <v/>
      </c>
      <c r="P182" s="5" t="str">
        <f>IF(O182="Short", E182*'P&amp;L'!$C$21, "")</f>
        <v/>
      </c>
      <c r="Q182" s="5" t="str">
        <f>IF(AND(J182&gt;'P&amp;L'!$C$23, COUNTIF($O$4:O181, "Short") &gt; COUNTIF($Q$4:Q181, "Close")), "Close", "")</f>
        <v>Close</v>
      </c>
      <c r="R182" s="6">
        <v>143902.5</v>
      </c>
    </row>
    <row r="183" spans="1:18" x14ac:dyDescent="0.35">
      <c r="A183" s="12">
        <v>42781</v>
      </c>
      <c r="B183" s="1">
        <v>819.36</v>
      </c>
      <c r="C183" s="1">
        <v>823</v>
      </c>
      <c r="D183" s="1">
        <v>818.47</v>
      </c>
      <c r="E183" s="1">
        <v>818.98</v>
      </c>
      <c r="F183" s="1">
        <v>1313617</v>
      </c>
      <c r="G183" s="6">
        <f t="shared" si="14"/>
        <v>833.57952380952372</v>
      </c>
      <c r="H183" s="6">
        <f t="shared" si="10"/>
        <v>838.15</v>
      </c>
      <c r="I183" s="6">
        <f t="shared" si="11"/>
        <v>818.47</v>
      </c>
      <c r="J183" s="6">
        <f t="shared" si="12"/>
        <v>2.5914634146341067</v>
      </c>
      <c r="K183" s="6">
        <f t="shared" si="13"/>
        <v>18.981029700481841</v>
      </c>
      <c r="L183" s="4" t="str">
        <f>IF(AND(E183&gt;G183, J183&gt;'P&amp;L'!$C$23, COUNTIF($L$4:L182, "Long")=COUNTIF($N$4:N182, "Close")), "Long", "")</f>
        <v/>
      </c>
      <c r="M183" s="4" t="str">
        <f>IF(L183="Long", E183*'P&amp;L'!$C$21,"")</f>
        <v/>
      </c>
      <c r="N183" s="4" t="str">
        <f>IF(AND(J183&gt;'P&amp;L'!$C$24, COUNTIF($L$4:L182, "Long") &gt; COUNTIF($N$4:N182, "Close")), "Close", "")</f>
        <v/>
      </c>
      <c r="O183" s="5" t="str">
        <f>IF(AND(E183&lt;G183, J183&lt;'P&amp;L'!$C$24, J182&gt;'P&amp;L'!$C$24, COUNTIF($O$4:O182, "Short")=COUNTIF($Q$4:Q182, "Close")), "Short", "")</f>
        <v/>
      </c>
      <c r="P183" s="5" t="str">
        <f>IF(O183="Short", E183*'P&amp;L'!$C$21, "")</f>
        <v/>
      </c>
      <c r="Q183" s="5" t="str">
        <f>IF(AND(J183&gt;'P&amp;L'!$C$23, COUNTIF($O$4:O182, "Short") &gt; COUNTIF($Q$4:Q182, "Close")), "Close", "")</f>
        <v/>
      </c>
      <c r="R183" s="6">
        <v>143902.5</v>
      </c>
    </row>
    <row r="184" spans="1:18" x14ac:dyDescent="0.35">
      <c r="A184" s="12">
        <v>42780</v>
      </c>
      <c r="B184" s="1">
        <v>819</v>
      </c>
      <c r="C184" s="1">
        <v>823</v>
      </c>
      <c r="D184" s="1">
        <v>816</v>
      </c>
      <c r="E184" s="1">
        <v>820.45</v>
      </c>
      <c r="F184" s="1">
        <v>1054732</v>
      </c>
      <c r="G184" s="6">
        <f t="shared" si="14"/>
        <v>832.23047619047622</v>
      </c>
      <c r="H184" s="6">
        <f t="shared" si="10"/>
        <v>836.26</v>
      </c>
      <c r="I184" s="6">
        <f t="shared" si="11"/>
        <v>816</v>
      </c>
      <c r="J184" s="6">
        <f t="shared" si="12"/>
        <v>21.964461994077233</v>
      </c>
      <c r="K184" s="6">
        <f t="shared" si="13"/>
        <v>15.686032477679271</v>
      </c>
      <c r="L184" s="4" t="str">
        <f>IF(AND(E184&gt;G184, J184&gt;'P&amp;L'!$C$23, COUNTIF($L$4:L183, "Long")=COUNTIF($N$4:N183, "Close")), "Long", "")</f>
        <v/>
      </c>
      <c r="M184" s="4" t="str">
        <f>IF(L184="Long", E184*'P&amp;L'!$C$21,"")</f>
        <v/>
      </c>
      <c r="N184" s="4" t="str">
        <f>IF(AND(J184&gt;'P&amp;L'!$C$24, COUNTIF($L$4:L183, "Long") &gt; COUNTIF($N$4:N183, "Close")), "Close", "")</f>
        <v/>
      </c>
      <c r="O184" s="5" t="str">
        <f>IF(AND(E184&lt;G184, J184&lt;'P&amp;L'!$C$24, J183&gt;'P&amp;L'!$C$24, COUNTIF($O$4:O183, "Short")=COUNTIF($Q$4:Q183, "Close")), "Short", "")</f>
        <v/>
      </c>
      <c r="P184" s="5" t="str">
        <f>IF(O184="Short", E184*'P&amp;L'!$C$21, "")</f>
        <v/>
      </c>
      <c r="Q184" s="5" t="str">
        <f>IF(AND(J184&gt;'P&amp;L'!$C$23, COUNTIF($O$4:O183, "Short") &gt; COUNTIF($Q$4:Q183, "Close")), "Close", "")</f>
        <v/>
      </c>
      <c r="R184" s="6">
        <v>143902.5</v>
      </c>
    </row>
    <row r="185" spans="1:18" x14ac:dyDescent="0.35">
      <c r="A185" s="12">
        <v>42779</v>
      </c>
      <c r="B185" s="1">
        <v>816</v>
      </c>
      <c r="C185" s="1">
        <v>820.96</v>
      </c>
      <c r="D185" s="1">
        <v>815.49</v>
      </c>
      <c r="E185" s="1">
        <v>819.24</v>
      </c>
      <c r="F185" s="1">
        <v>1213324</v>
      </c>
      <c r="G185" s="6">
        <f t="shared" si="14"/>
        <v>830.89904761904768</v>
      </c>
      <c r="H185" s="6">
        <f t="shared" si="10"/>
        <v>836.26</v>
      </c>
      <c r="I185" s="6">
        <f t="shared" si="11"/>
        <v>815.49</v>
      </c>
      <c r="J185" s="6">
        <f t="shared" si="12"/>
        <v>18.054886856042383</v>
      </c>
      <c r="K185" s="6">
        <f t="shared" si="13"/>
        <v>14.20360408825124</v>
      </c>
      <c r="L185" s="4" t="str">
        <f>IF(AND(E185&gt;G185, J185&gt;'P&amp;L'!$C$23, COUNTIF($L$4:L184, "Long")=COUNTIF($N$4:N184, "Close")), "Long", "")</f>
        <v/>
      </c>
      <c r="M185" s="4" t="str">
        <f>IF(L185="Long", E185*'P&amp;L'!$C$21,"")</f>
        <v/>
      </c>
      <c r="N185" s="4" t="str">
        <f>IF(AND(J185&gt;'P&amp;L'!$C$24, COUNTIF($L$4:L184, "Long") &gt; COUNTIF($N$4:N184, "Close")), "Close", "")</f>
        <v/>
      </c>
      <c r="O185" s="5" t="str">
        <f>IF(AND(E185&lt;G185, J185&lt;'P&amp;L'!$C$24, J184&gt;'P&amp;L'!$C$24, COUNTIF($O$4:O184, "Short")=COUNTIF($Q$4:Q184, "Close")), "Short", "")</f>
        <v/>
      </c>
      <c r="P185" s="5" t="str">
        <f>IF(O185="Short", E185*'P&amp;L'!$C$21, "")</f>
        <v/>
      </c>
      <c r="Q185" s="5" t="str">
        <f>IF(AND(J185&gt;'P&amp;L'!$C$23, COUNTIF($O$4:O184, "Short") &gt; COUNTIF($Q$4:Q184, "Close")), "Close", "")</f>
        <v/>
      </c>
      <c r="R185" s="6">
        <v>143902.5</v>
      </c>
    </row>
    <row r="186" spans="1:18" x14ac:dyDescent="0.35">
      <c r="A186" s="12">
        <v>42776</v>
      </c>
      <c r="B186" s="1">
        <v>811.7</v>
      </c>
      <c r="C186" s="1">
        <v>815.25</v>
      </c>
      <c r="D186" s="1">
        <v>809.78</v>
      </c>
      <c r="E186" s="1">
        <v>813.67</v>
      </c>
      <c r="F186" s="1">
        <v>1134976</v>
      </c>
      <c r="G186" s="6">
        <f t="shared" si="14"/>
        <v>829.37761904761885</v>
      </c>
      <c r="H186" s="6">
        <f t="shared" si="10"/>
        <v>836.26</v>
      </c>
      <c r="I186" s="6">
        <f t="shared" si="11"/>
        <v>809.78</v>
      </c>
      <c r="J186" s="6">
        <f t="shared" si="12"/>
        <v>14.690332326283926</v>
      </c>
      <c r="K186" s="6">
        <f t="shared" si="13"/>
        <v>18.236560392134511</v>
      </c>
      <c r="L186" s="4" t="str">
        <f>IF(AND(E186&gt;G186, J186&gt;'P&amp;L'!$C$23, COUNTIF($L$4:L185, "Long")=COUNTIF($N$4:N185, "Close")), "Long", "")</f>
        <v/>
      </c>
      <c r="M186" s="4" t="str">
        <f>IF(L186="Long", E186*'P&amp;L'!$C$21,"")</f>
        <v/>
      </c>
      <c r="N186" s="4" t="str">
        <f>IF(AND(J186&gt;'P&amp;L'!$C$24, COUNTIF($L$4:L185, "Long") &gt; COUNTIF($N$4:N185, "Close")), "Close", "")</f>
        <v/>
      </c>
      <c r="O186" s="5" t="str">
        <f>IF(AND(E186&lt;G186, J186&lt;'P&amp;L'!$C$24, J185&gt;'P&amp;L'!$C$24, COUNTIF($O$4:O185, "Short")=COUNTIF($Q$4:Q185, "Close")), "Short", "")</f>
        <v/>
      </c>
      <c r="P186" s="5" t="str">
        <f>IF(O186="Short", E186*'P&amp;L'!$C$21, "")</f>
        <v/>
      </c>
      <c r="Q186" s="5" t="str">
        <f>IF(AND(J186&gt;'P&amp;L'!$C$23, COUNTIF($O$4:O185, "Short") &gt; COUNTIF($Q$4:Q185, "Close")), "Close", "")</f>
        <v/>
      </c>
      <c r="R186" s="6">
        <v>143902.5</v>
      </c>
    </row>
    <row r="187" spans="1:18" x14ac:dyDescent="0.35">
      <c r="A187" s="12">
        <v>42775</v>
      </c>
      <c r="B187" s="1">
        <v>809.51</v>
      </c>
      <c r="C187" s="1">
        <v>810.66</v>
      </c>
      <c r="D187" s="1">
        <v>804.54</v>
      </c>
      <c r="E187" s="1">
        <v>809.56</v>
      </c>
      <c r="F187" s="1">
        <v>990391</v>
      </c>
      <c r="G187" s="6">
        <f t="shared" si="14"/>
        <v>827.66428571428571</v>
      </c>
      <c r="H187" s="6">
        <f t="shared" si="10"/>
        <v>836.26</v>
      </c>
      <c r="I187" s="6">
        <f t="shared" si="11"/>
        <v>804.54</v>
      </c>
      <c r="J187" s="6">
        <f t="shared" si="12"/>
        <v>15.825977301387068</v>
      </c>
      <c r="K187" s="6">
        <f t="shared" si="13"/>
        <v>16.19039882790446</v>
      </c>
      <c r="L187" s="4" t="str">
        <f>IF(AND(E187&gt;G187, J187&gt;'P&amp;L'!$C$23, COUNTIF($L$4:L186, "Long")=COUNTIF($N$4:N186, "Close")), "Long", "")</f>
        <v/>
      </c>
      <c r="M187" s="4" t="str">
        <f>IF(L187="Long", E187*'P&amp;L'!$C$21,"")</f>
        <v/>
      </c>
      <c r="N187" s="4" t="str">
        <f>IF(AND(J187&gt;'P&amp;L'!$C$24, COUNTIF($L$4:L186, "Long") &gt; COUNTIF($N$4:N186, "Close")), "Close", "")</f>
        <v/>
      </c>
      <c r="O187" s="5" t="str">
        <f>IF(AND(E187&lt;G187, J187&lt;'P&amp;L'!$C$24, J186&gt;'P&amp;L'!$C$24, COUNTIF($O$4:O186, "Short")=COUNTIF($Q$4:Q186, "Close")), "Short", "")</f>
        <v/>
      </c>
      <c r="P187" s="5" t="str">
        <f>IF(O187="Short", E187*'P&amp;L'!$C$21, "")</f>
        <v/>
      </c>
      <c r="Q187" s="5" t="str">
        <f>IF(AND(J187&gt;'P&amp;L'!$C$23, COUNTIF($O$4:O186, "Short") &gt; COUNTIF($Q$4:Q186, "Close")), "Close", "")</f>
        <v/>
      </c>
      <c r="R187" s="6">
        <v>143902.5</v>
      </c>
    </row>
    <row r="188" spans="1:18" x14ac:dyDescent="0.35">
      <c r="A188" s="12">
        <v>42774</v>
      </c>
      <c r="B188" s="1">
        <v>807</v>
      </c>
      <c r="C188" s="1">
        <v>811.84</v>
      </c>
      <c r="D188" s="1">
        <v>803.19</v>
      </c>
      <c r="E188" s="1">
        <v>808.38</v>
      </c>
      <c r="F188" s="1">
        <v>1155990</v>
      </c>
      <c r="G188" s="6">
        <f t="shared" si="14"/>
        <v>826.00380952380965</v>
      </c>
      <c r="H188" s="6">
        <f t="shared" si="10"/>
        <v>836.26</v>
      </c>
      <c r="I188" s="6">
        <f t="shared" si="11"/>
        <v>803.19</v>
      </c>
      <c r="J188" s="6">
        <f t="shared" si="12"/>
        <v>15.69398246144527</v>
      </c>
      <c r="K188" s="6">
        <f t="shared" si="13"/>
        <v>15.403430696372089</v>
      </c>
      <c r="L188" s="4" t="str">
        <f>IF(AND(E188&gt;G188, J188&gt;'P&amp;L'!$C$23, COUNTIF($L$4:L187, "Long")=COUNTIF($N$4:N187, "Close")), "Long", "")</f>
        <v/>
      </c>
      <c r="M188" s="4" t="str">
        <f>IF(L188="Long", E188*'P&amp;L'!$C$21,"")</f>
        <v/>
      </c>
      <c r="N188" s="4" t="str">
        <f>IF(AND(J188&gt;'P&amp;L'!$C$24, COUNTIF($L$4:L187, "Long") &gt; COUNTIF($N$4:N187, "Close")), "Close", "")</f>
        <v/>
      </c>
      <c r="O188" s="5" t="str">
        <f>IF(AND(E188&lt;G188, J188&lt;'P&amp;L'!$C$24, J187&gt;'P&amp;L'!$C$24, COUNTIF($O$4:O187, "Short")=COUNTIF($Q$4:Q187, "Close")), "Short", "")</f>
        <v/>
      </c>
      <c r="P188" s="5" t="str">
        <f>IF(O188="Short", E188*'P&amp;L'!$C$21, "")</f>
        <v/>
      </c>
      <c r="Q188" s="5" t="str">
        <f>IF(AND(J188&gt;'P&amp;L'!$C$23, COUNTIF($O$4:O187, "Short") &gt; COUNTIF($Q$4:Q187, "Close")), "Close", "")</f>
        <v/>
      </c>
      <c r="R188" s="6">
        <v>143902.5</v>
      </c>
    </row>
    <row r="189" spans="1:18" x14ac:dyDescent="0.35">
      <c r="A189" s="12">
        <v>42773</v>
      </c>
      <c r="B189" s="1">
        <v>803.99</v>
      </c>
      <c r="C189" s="1">
        <v>810.5</v>
      </c>
      <c r="D189" s="1">
        <v>801.78</v>
      </c>
      <c r="E189" s="1">
        <v>806.97</v>
      </c>
      <c r="F189" s="1">
        <v>1241221</v>
      </c>
      <c r="G189" s="6">
        <f t="shared" si="14"/>
        <v>824.49380952380943</v>
      </c>
      <c r="H189" s="6">
        <f t="shared" si="10"/>
        <v>833.45</v>
      </c>
      <c r="I189" s="6">
        <f t="shared" si="11"/>
        <v>801.78</v>
      </c>
      <c r="J189" s="6">
        <f t="shared" si="12"/>
        <v>16.387748658036131</v>
      </c>
      <c r="K189" s="6">
        <f t="shared" si="13"/>
        <v>15.969236140289489</v>
      </c>
      <c r="L189" s="4" t="str">
        <f>IF(AND(E189&gt;G189, J189&gt;'P&amp;L'!$C$23, COUNTIF($L$4:L188, "Long")=COUNTIF($N$4:N188, "Close")), "Long", "")</f>
        <v/>
      </c>
      <c r="M189" s="4" t="str">
        <f>IF(L189="Long", E189*'P&amp;L'!$C$21,"")</f>
        <v/>
      </c>
      <c r="N189" s="4" t="str">
        <f>IF(AND(J189&gt;'P&amp;L'!$C$24, COUNTIF($L$4:L188, "Long") &gt; COUNTIF($N$4:N188, "Close")), "Close", "")</f>
        <v/>
      </c>
      <c r="O189" s="5" t="str">
        <f>IF(AND(E189&lt;G189, J189&lt;'P&amp;L'!$C$24, J188&gt;'P&amp;L'!$C$24, COUNTIF($O$4:O188, "Short")=COUNTIF($Q$4:Q188, "Close")), "Short", "")</f>
        <v/>
      </c>
      <c r="P189" s="5" t="str">
        <f>IF(O189="Short", E189*'P&amp;L'!$C$21, "")</f>
        <v/>
      </c>
      <c r="Q189" s="5" t="str">
        <f>IF(AND(J189&gt;'P&amp;L'!$C$23, COUNTIF($O$4:O188, "Short") &gt; COUNTIF($Q$4:Q188, "Close")), "Close", "")</f>
        <v/>
      </c>
      <c r="R189" s="6">
        <v>143902.5</v>
      </c>
    </row>
    <row r="190" spans="1:18" x14ac:dyDescent="0.35">
      <c r="A190" s="12">
        <v>42772</v>
      </c>
      <c r="B190" s="1">
        <v>799.7</v>
      </c>
      <c r="C190" s="1">
        <v>801.67</v>
      </c>
      <c r="D190" s="1">
        <v>795.25</v>
      </c>
      <c r="E190" s="1">
        <v>801.34</v>
      </c>
      <c r="F190" s="1">
        <v>1184483</v>
      </c>
      <c r="G190" s="6">
        <f t="shared" si="14"/>
        <v>822.87333333333333</v>
      </c>
      <c r="H190" s="6">
        <f t="shared" si="10"/>
        <v>833.45</v>
      </c>
      <c r="I190" s="6">
        <f t="shared" si="11"/>
        <v>795.25</v>
      </c>
      <c r="J190" s="6">
        <f t="shared" si="12"/>
        <v>15.942408376963416</v>
      </c>
      <c r="K190" s="6">
        <f t="shared" si="13"/>
        <v>16.008046498814938</v>
      </c>
      <c r="L190" s="4" t="str">
        <f>IF(AND(E190&gt;G190, J190&gt;'P&amp;L'!$C$23, COUNTIF($L$4:L189, "Long")=COUNTIF($N$4:N189, "Close")), "Long", "")</f>
        <v/>
      </c>
      <c r="M190" s="4" t="str">
        <f>IF(L190="Long", E190*'P&amp;L'!$C$21,"")</f>
        <v/>
      </c>
      <c r="N190" s="4" t="str">
        <f>IF(AND(J190&gt;'P&amp;L'!$C$24, COUNTIF($L$4:L189, "Long") &gt; COUNTIF($N$4:N189, "Close")), "Close", "")</f>
        <v/>
      </c>
      <c r="O190" s="5" t="str">
        <f>IF(AND(E190&lt;G190, J190&lt;'P&amp;L'!$C$24, J189&gt;'P&amp;L'!$C$24, COUNTIF($O$4:O189, "Short")=COUNTIF($Q$4:Q189, "Close")), "Short", "")</f>
        <v/>
      </c>
      <c r="P190" s="5" t="str">
        <f>IF(O190="Short", E190*'P&amp;L'!$C$21, "")</f>
        <v/>
      </c>
      <c r="Q190" s="5" t="str">
        <f>IF(AND(J190&gt;'P&amp;L'!$C$23, COUNTIF($O$4:O189, "Short") &gt; COUNTIF($Q$4:Q189, "Close")), "Close", "")</f>
        <v/>
      </c>
      <c r="R190" s="6">
        <v>143902.5</v>
      </c>
    </row>
    <row r="191" spans="1:18" x14ac:dyDescent="0.35">
      <c r="A191" s="12">
        <v>42769</v>
      </c>
      <c r="B191" s="1">
        <v>802.99</v>
      </c>
      <c r="C191" s="1">
        <v>806</v>
      </c>
      <c r="D191" s="1">
        <v>800.37</v>
      </c>
      <c r="E191" s="1">
        <v>801.49</v>
      </c>
      <c r="F191" s="1">
        <v>1463448</v>
      </c>
      <c r="G191" s="6">
        <f t="shared" si="14"/>
        <v>821.42476190476179</v>
      </c>
      <c r="H191" s="6">
        <f t="shared" si="10"/>
        <v>833.45</v>
      </c>
      <c r="I191" s="6">
        <f t="shared" si="11"/>
        <v>795.25</v>
      </c>
      <c r="J191" s="6">
        <f t="shared" si="12"/>
        <v>16.335078534031418</v>
      </c>
      <c r="K191" s="6">
        <f t="shared" si="13"/>
        <v>16.221745189676987</v>
      </c>
      <c r="L191" s="4" t="str">
        <f>IF(AND(E191&gt;G191, J191&gt;'P&amp;L'!$C$23, COUNTIF($L$4:L190, "Long")=COUNTIF($N$4:N190, "Close")), "Long", "")</f>
        <v/>
      </c>
      <c r="M191" s="4" t="str">
        <f>IF(L191="Long", E191*'P&amp;L'!$C$21,"")</f>
        <v/>
      </c>
      <c r="N191" s="4" t="str">
        <f>IF(AND(J191&gt;'P&amp;L'!$C$24, COUNTIF($L$4:L190, "Long") &gt; COUNTIF($N$4:N190, "Close")), "Close", "")</f>
        <v/>
      </c>
      <c r="O191" s="5" t="str">
        <f>IF(AND(E191&lt;G191, J191&lt;'P&amp;L'!$C$24, J190&gt;'P&amp;L'!$C$24, COUNTIF($O$4:O190, "Short")=COUNTIF($Q$4:Q190, "Close")), "Short", "")</f>
        <v/>
      </c>
      <c r="P191" s="5" t="str">
        <f>IF(O191="Short", E191*'P&amp;L'!$C$21, "")</f>
        <v/>
      </c>
      <c r="Q191" s="5" t="str">
        <f>IF(AND(J191&gt;'P&amp;L'!$C$23, COUNTIF($O$4:O190, "Short") &gt; COUNTIF($Q$4:Q190, "Close")), "Close", "")</f>
        <v/>
      </c>
      <c r="R191" s="6">
        <v>143902.5</v>
      </c>
    </row>
    <row r="192" spans="1:18" x14ac:dyDescent="0.35">
      <c r="A192" s="12">
        <v>42768</v>
      </c>
      <c r="B192" s="1">
        <v>793.8</v>
      </c>
      <c r="C192" s="1">
        <v>802.7</v>
      </c>
      <c r="D192" s="1">
        <v>792</v>
      </c>
      <c r="E192" s="1">
        <v>798.53</v>
      </c>
      <c r="F192" s="1">
        <v>1532138</v>
      </c>
      <c r="G192" s="6">
        <f t="shared" si="14"/>
        <v>820.03190476190468</v>
      </c>
      <c r="H192" s="6">
        <f t="shared" si="10"/>
        <v>833.45</v>
      </c>
      <c r="I192" s="6">
        <f t="shared" si="11"/>
        <v>792</v>
      </c>
      <c r="J192" s="6">
        <f t="shared" si="12"/>
        <v>15.753920386007156</v>
      </c>
      <c r="K192" s="6">
        <f t="shared" si="13"/>
        <v>16.010469099000662</v>
      </c>
      <c r="L192" s="4" t="str">
        <f>IF(AND(E192&gt;G192, J192&gt;'P&amp;L'!$C$23, COUNTIF($L$4:L191, "Long")=COUNTIF($N$4:N191, "Close")), "Long", "")</f>
        <v/>
      </c>
      <c r="M192" s="4" t="str">
        <f>IF(L192="Long", E192*'P&amp;L'!$C$21,"")</f>
        <v/>
      </c>
      <c r="N192" s="4" t="str">
        <f>IF(AND(J192&gt;'P&amp;L'!$C$24, COUNTIF($L$4:L191, "Long") &gt; COUNTIF($N$4:N191, "Close")), "Close", "")</f>
        <v/>
      </c>
      <c r="O192" s="5" t="str">
        <f>IF(AND(E192&lt;G192, J192&lt;'P&amp;L'!$C$24, J191&gt;'P&amp;L'!$C$24, COUNTIF($O$4:O191, "Short")=COUNTIF($Q$4:Q191, "Close")), "Short", "")</f>
        <v/>
      </c>
      <c r="P192" s="5" t="str">
        <f>IF(O192="Short", E192*'P&amp;L'!$C$21, "")</f>
        <v/>
      </c>
      <c r="Q192" s="5" t="str">
        <f>IF(AND(J192&gt;'P&amp;L'!$C$23, COUNTIF($O$4:O191, "Short") &gt; COUNTIF($Q$4:Q191, "Close")), "Close", "")</f>
        <v/>
      </c>
      <c r="R192" s="6">
        <v>143902.5</v>
      </c>
    </row>
    <row r="193" spans="1:18" x14ac:dyDescent="0.35">
      <c r="A193" s="12">
        <v>42767</v>
      </c>
      <c r="B193" s="1">
        <v>799.68</v>
      </c>
      <c r="C193" s="1">
        <v>801.19</v>
      </c>
      <c r="D193" s="1">
        <v>791.19</v>
      </c>
      <c r="E193" s="1">
        <v>795.7</v>
      </c>
      <c r="F193" s="1">
        <v>2029744</v>
      </c>
      <c r="G193" s="6">
        <f t="shared" si="14"/>
        <v>818.44238095238086</v>
      </c>
      <c r="H193" s="6">
        <f t="shared" si="10"/>
        <v>833.45</v>
      </c>
      <c r="I193" s="6">
        <f t="shared" si="11"/>
        <v>791.19</v>
      </c>
      <c r="J193" s="6">
        <f t="shared" si="12"/>
        <v>10.672030288689047</v>
      </c>
      <c r="K193" s="6">
        <f t="shared" si="13"/>
        <v>14.253676402909207</v>
      </c>
      <c r="L193" s="4" t="str">
        <f>IF(AND(E193&gt;G193, J193&gt;'P&amp;L'!$C$23, COUNTIF($L$4:L192, "Long")=COUNTIF($N$4:N192, "Close")), "Long", "")</f>
        <v/>
      </c>
      <c r="M193" s="4" t="str">
        <f>IF(L193="Long", E193*'P&amp;L'!$C$21,"")</f>
        <v/>
      </c>
      <c r="N193" s="4" t="str">
        <f>IF(AND(J193&gt;'P&amp;L'!$C$24, COUNTIF($L$4:L192, "Long") &gt; COUNTIF($N$4:N192, "Close")), "Close", "")</f>
        <v/>
      </c>
      <c r="O193" s="5" t="str">
        <f>IF(AND(E193&lt;G193, J193&lt;'P&amp;L'!$C$24, J192&gt;'P&amp;L'!$C$24, COUNTIF($O$4:O192, "Short")=COUNTIF($Q$4:Q192, "Close")), "Short", "")</f>
        <v/>
      </c>
      <c r="P193" s="5" t="str">
        <f>IF(O193="Short", E193*'P&amp;L'!$C$21, "")</f>
        <v/>
      </c>
      <c r="Q193" s="5" t="str">
        <f>IF(AND(J193&gt;'P&amp;L'!$C$23, COUNTIF($O$4:O192, "Short") &gt; COUNTIF($Q$4:Q192, "Close")), "Close", "")</f>
        <v/>
      </c>
      <c r="R193" s="6">
        <v>143902.5</v>
      </c>
    </row>
    <row r="194" spans="1:18" x14ac:dyDescent="0.35">
      <c r="A194" s="12">
        <v>42766</v>
      </c>
      <c r="B194" s="1">
        <v>796.86</v>
      </c>
      <c r="C194" s="1">
        <v>801.25</v>
      </c>
      <c r="D194" s="1">
        <v>790.52</v>
      </c>
      <c r="E194" s="1">
        <v>796.79</v>
      </c>
      <c r="F194" s="1">
        <v>2160556</v>
      </c>
      <c r="G194" s="6">
        <f t="shared" si="14"/>
        <v>816.83095238095245</v>
      </c>
      <c r="H194" s="6">
        <f t="shared" si="10"/>
        <v>833.45</v>
      </c>
      <c r="I194" s="6">
        <f t="shared" si="11"/>
        <v>790.52</v>
      </c>
      <c r="J194" s="6">
        <f t="shared" si="12"/>
        <v>14.60517120894473</v>
      </c>
      <c r="K194" s="6">
        <f t="shared" si="13"/>
        <v>13.677040627880311</v>
      </c>
      <c r="L194" s="4" t="str">
        <f>IF(AND(E194&gt;G194, J194&gt;'P&amp;L'!$C$23, COUNTIF($L$4:L193, "Long")=COUNTIF($N$4:N193, "Close")), "Long", "")</f>
        <v/>
      </c>
      <c r="M194" s="4" t="str">
        <f>IF(L194="Long", E194*'P&amp;L'!$C$21,"")</f>
        <v/>
      </c>
      <c r="N194" s="4" t="str">
        <f>IF(AND(J194&gt;'P&amp;L'!$C$24, COUNTIF($L$4:L193, "Long") &gt; COUNTIF($N$4:N193, "Close")), "Close", "")</f>
        <v/>
      </c>
      <c r="O194" s="5" t="str">
        <f>IF(AND(E194&lt;G194, J194&lt;'P&amp;L'!$C$24, J193&gt;'P&amp;L'!$C$24, COUNTIF($O$4:O193, "Short")=COUNTIF($Q$4:Q193, "Close")), "Short", "")</f>
        <v/>
      </c>
      <c r="P194" s="5" t="str">
        <f>IF(O194="Short", E194*'P&amp;L'!$C$21, "")</f>
        <v/>
      </c>
      <c r="Q194" s="5" t="str">
        <f>IF(AND(J194&gt;'P&amp;L'!$C$23, COUNTIF($O$4:O193, "Short") &gt; COUNTIF($Q$4:Q193, "Close")), "Close", "")</f>
        <v/>
      </c>
      <c r="R194" s="6">
        <v>143902.5</v>
      </c>
    </row>
    <row r="195" spans="1:18" x14ac:dyDescent="0.35">
      <c r="A195" s="12">
        <v>42765</v>
      </c>
      <c r="B195" s="1">
        <v>814.66</v>
      </c>
      <c r="C195" s="1">
        <v>815.84</v>
      </c>
      <c r="D195" s="1">
        <v>799.8</v>
      </c>
      <c r="E195" s="1">
        <v>802.32</v>
      </c>
      <c r="F195" s="1">
        <v>3246573</v>
      </c>
      <c r="G195" s="6">
        <f t="shared" si="14"/>
        <v>815.26333333333332</v>
      </c>
      <c r="H195" s="6">
        <f t="shared" si="10"/>
        <v>828.07</v>
      </c>
      <c r="I195" s="6">
        <f t="shared" si="11"/>
        <v>790.52</v>
      </c>
      <c r="J195" s="6">
        <f t="shared" si="12"/>
        <v>31.424766977363639</v>
      </c>
      <c r="K195" s="6">
        <f t="shared" si="13"/>
        <v>18.90065615833247</v>
      </c>
      <c r="L195" s="4" t="str">
        <f>IF(AND(E195&gt;G195, J195&gt;'P&amp;L'!$C$23, COUNTIF($L$4:L194, "Long")=COUNTIF($N$4:N194, "Close")), "Long", "")</f>
        <v/>
      </c>
      <c r="M195" s="4" t="str">
        <f>IF(L195="Long", E195*'P&amp;L'!$C$21,"")</f>
        <v/>
      </c>
      <c r="N195" s="4" t="str">
        <f>IF(AND(J195&gt;'P&amp;L'!$C$24, COUNTIF($L$4:L194, "Long") &gt; COUNTIF($N$4:N194, "Close")), "Close", "")</f>
        <v/>
      </c>
      <c r="O195" s="5" t="str">
        <f>IF(AND(E195&lt;G195, J195&lt;'P&amp;L'!$C$24, J194&gt;'P&amp;L'!$C$24, COUNTIF($O$4:O194, "Short")=COUNTIF($Q$4:Q194, "Close")), "Short", "")</f>
        <v/>
      </c>
      <c r="P195" s="5" t="str">
        <f>IF(O195="Short", E195*'P&amp;L'!$C$21, "")</f>
        <v/>
      </c>
      <c r="Q195" s="5" t="str">
        <f>IF(AND(J195&gt;'P&amp;L'!$C$23, COUNTIF($O$4:O194, "Short") &gt; COUNTIF($Q$4:Q194, "Close")), "Close", "")</f>
        <v/>
      </c>
      <c r="R195" s="6">
        <v>143902.5</v>
      </c>
    </row>
    <row r="196" spans="1:18" x14ac:dyDescent="0.35">
      <c r="A196" s="12">
        <v>42762</v>
      </c>
      <c r="B196" s="1">
        <v>834.71</v>
      </c>
      <c r="C196" s="1">
        <v>841.95</v>
      </c>
      <c r="D196" s="1">
        <v>820.44</v>
      </c>
      <c r="E196" s="1">
        <v>823.31</v>
      </c>
      <c r="F196" s="1">
        <v>2965771</v>
      </c>
      <c r="G196" s="6">
        <f t="shared" si="14"/>
        <v>815.26809523809527</v>
      </c>
      <c r="H196" s="6">
        <f t="shared" si="10"/>
        <v>841.95</v>
      </c>
      <c r="I196" s="6">
        <f t="shared" si="11"/>
        <v>790.52</v>
      </c>
      <c r="J196" s="6">
        <f t="shared" si="12"/>
        <v>63.756562317713247</v>
      </c>
      <c r="K196" s="6">
        <f t="shared" si="13"/>
        <v>36.595500168007206</v>
      </c>
      <c r="L196" s="4" t="str">
        <f>IF(AND(E196&gt;G196, J196&gt;'P&amp;L'!$C$23, COUNTIF($L$4:L195, "Long")=COUNTIF($N$4:N195, "Close")), "Long", "")</f>
        <v>Long</v>
      </c>
      <c r="M196" s="4">
        <f>IF(L196="Long", E196*'P&amp;L'!$C$21,"")</f>
        <v>41165.5</v>
      </c>
      <c r="N196" s="4" t="str">
        <f>IF(AND(J196&gt;'P&amp;L'!$C$24, COUNTIF($L$4:L195, "Long") &gt; COUNTIF($N$4:N195, "Close")), "Close", "")</f>
        <v/>
      </c>
      <c r="O196" s="5" t="str">
        <f>IF(AND(E196&lt;G196, J196&lt;'P&amp;L'!$C$24, J195&gt;'P&amp;L'!$C$24, COUNTIF($O$4:O195, "Short")=COUNTIF($Q$4:Q195, "Close")), "Short", "")</f>
        <v/>
      </c>
      <c r="P196" s="5" t="str">
        <f>IF(O196="Short", E196*'P&amp;L'!$C$21, "")</f>
        <v/>
      </c>
      <c r="Q196" s="5" t="str">
        <f>IF(AND(J196&gt;'P&amp;L'!$C$23, COUNTIF($O$4:O195, "Short") &gt; COUNTIF($Q$4:Q195, "Close")), "Close", "")</f>
        <v/>
      </c>
      <c r="R196" s="6">
        <v>102737</v>
      </c>
    </row>
    <row r="197" spans="1:18" x14ac:dyDescent="0.35">
      <c r="A197" s="12">
        <v>42761</v>
      </c>
      <c r="B197" s="1">
        <v>837.81</v>
      </c>
      <c r="C197" s="1">
        <v>838</v>
      </c>
      <c r="D197" s="1">
        <v>827.01</v>
      </c>
      <c r="E197" s="1">
        <v>832.15</v>
      </c>
      <c r="F197" s="1">
        <v>2973891</v>
      </c>
      <c r="G197" s="6">
        <f t="shared" si="14"/>
        <v>815.4047619047617</v>
      </c>
      <c r="H197" s="6">
        <f t="shared" si="10"/>
        <v>841.95</v>
      </c>
      <c r="I197" s="6">
        <f t="shared" si="11"/>
        <v>790.52</v>
      </c>
      <c r="J197" s="6">
        <f t="shared" si="12"/>
        <v>80.944973750729034</v>
      </c>
      <c r="K197" s="6">
        <f t="shared" si="13"/>
        <v>58.708767681935306</v>
      </c>
      <c r="L197" s="4" t="str">
        <f>IF(AND(E197&gt;G197, J197&gt;'P&amp;L'!$C$23, COUNTIF($L$4:L196, "Long")=COUNTIF($N$4:N196, "Close")), "Long", "")</f>
        <v/>
      </c>
      <c r="M197" s="4" t="str">
        <f>IF(L197="Long", E197*'P&amp;L'!$C$21,"")</f>
        <v/>
      </c>
      <c r="N197" s="4" t="str">
        <f>IF(AND(J197&gt;'P&amp;L'!$C$24, COUNTIF($L$4:L196, "Long") &gt; COUNTIF($N$4:N196, "Close")), "Close", "")</f>
        <v>Close</v>
      </c>
      <c r="O197" s="5" t="str">
        <f>IF(AND(E197&lt;G197, J197&lt;'P&amp;L'!$C$24, J196&gt;'P&amp;L'!$C$24, COUNTIF($O$4:O196, "Short")=COUNTIF($Q$4:Q196, "Close")), "Short", "")</f>
        <v/>
      </c>
      <c r="P197" s="5" t="str">
        <f>IF(O197="Short", E197*'P&amp;L'!$C$21, "")</f>
        <v/>
      </c>
      <c r="Q197" s="5" t="str">
        <f>IF(AND(J197&gt;'P&amp;L'!$C$23, COUNTIF($O$4:O196, "Short") &gt; COUNTIF($Q$4:Q196, "Close")), "Close", "")</f>
        <v/>
      </c>
      <c r="R197" s="6">
        <v>144344.5</v>
      </c>
    </row>
    <row r="198" spans="1:18" x14ac:dyDescent="0.35">
      <c r="A198" s="12">
        <v>42760</v>
      </c>
      <c r="B198" s="1">
        <v>829.62</v>
      </c>
      <c r="C198" s="1">
        <v>835.77</v>
      </c>
      <c r="D198" s="1">
        <v>825.06</v>
      </c>
      <c r="E198" s="1">
        <v>835.67</v>
      </c>
      <c r="F198" s="1">
        <v>1627304</v>
      </c>
      <c r="G198" s="6">
        <f t="shared" si="14"/>
        <v>815.7395238095238</v>
      </c>
      <c r="H198" s="6">
        <f t="shared" si="10"/>
        <v>841.95</v>
      </c>
      <c r="I198" s="6">
        <f t="shared" si="11"/>
        <v>790.52</v>
      </c>
      <c r="J198" s="6">
        <f t="shared" si="12"/>
        <v>87.789228076997702</v>
      </c>
      <c r="K198" s="6">
        <f t="shared" si="13"/>
        <v>77.496921381813323</v>
      </c>
      <c r="L198" s="4" t="str">
        <f>IF(AND(E198&gt;G198, J198&gt;'P&amp;L'!$C$23, COUNTIF($L$4:L197, "Long")=COUNTIF($N$4:N197, "Close")), "Long", "")</f>
        <v>Long</v>
      </c>
      <c r="M198" s="4">
        <f>IF(L198="Long", E198*'P&amp;L'!$C$21,"")</f>
        <v>41783.5</v>
      </c>
      <c r="N198" s="4" t="str">
        <f>IF(AND(J198&gt;'P&amp;L'!$C$24, COUNTIF($L$4:L197, "Long") &gt; COUNTIF($N$4:N197, "Close")), "Close", "")</f>
        <v/>
      </c>
      <c r="O198" s="5" t="str">
        <f>IF(AND(E198&lt;G198, J198&lt;'P&amp;L'!$C$24, J197&gt;'P&amp;L'!$C$24, COUNTIF($O$4:O197, "Short")=COUNTIF($Q$4:Q197, "Close")), "Short", "")</f>
        <v/>
      </c>
      <c r="P198" s="5" t="str">
        <f>IF(O198="Short", E198*'P&amp;L'!$C$21, "")</f>
        <v/>
      </c>
      <c r="Q198" s="5" t="str">
        <f>IF(AND(J198&gt;'P&amp;L'!$C$23, COUNTIF($O$4:O197, "Short") &gt; COUNTIF($Q$4:Q197, "Close")), "Close", "")</f>
        <v/>
      </c>
      <c r="R198" s="6">
        <v>102561</v>
      </c>
    </row>
    <row r="199" spans="1:18" x14ac:dyDescent="0.35">
      <c r="A199" s="12">
        <v>42759</v>
      </c>
      <c r="B199" s="1">
        <v>822.3</v>
      </c>
      <c r="C199" s="1">
        <v>825.9</v>
      </c>
      <c r="D199" s="1">
        <v>817.82</v>
      </c>
      <c r="E199" s="1">
        <v>823.87</v>
      </c>
      <c r="F199" s="1">
        <v>1474010</v>
      </c>
      <c r="G199" s="6">
        <f t="shared" si="14"/>
        <v>815.38428571428574</v>
      </c>
      <c r="H199" s="6">
        <f t="shared" si="10"/>
        <v>841.95</v>
      </c>
      <c r="I199" s="6">
        <f t="shared" si="11"/>
        <v>790.52</v>
      </c>
      <c r="J199" s="6">
        <f t="shared" si="12"/>
        <v>64.845420960528841</v>
      </c>
      <c r="K199" s="6">
        <f t="shared" si="13"/>
        <v>77.859874262751859</v>
      </c>
      <c r="L199" s="4" t="str">
        <f>IF(AND(E199&gt;G199, J199&gt;'P&amp;L'!$C$23, COUNTIF($L$4:L198, "Long")=COUNTIF($N$4:N198, "Close")), "Long", "")</f>
        <v/>
      </c>
      <c r="M199" s="4" t="str">
        <f>IF(L199="Long", E199*'P&amp;L'!$C$21,"")</f>
        <v/>
      </c>
      <c r="N199" s="4" t="str">
        <f>IF(AND(J199&gt;'P&amp;L'!$C$24, COUNTIF($L$4:L198, "Long") &gt; COUNTIF($N$4:N198, "Close")), "Close", "")</f>
        <v>Close</v>
      </c>
      <c r="O199" s="5" t="str">
        <f>IF(AND(E199&lt;G199, J199&lt;'P&amp;L'!$C$24, J198&gt;'P&amp;L'!$C$24, COUNTIF($O$4:O198, "Short")=COUNTIF($Q$4:Q198, "Close")), "Short", "")</f>
        <v/>
      </c>
      <c r="P199" s="5" t="str">
        <f>IF(O199="Short", E199*'P&amp;L'!$C$21, "")</f>
        <v/>
      </c>
      <c r="Q199" s="5" t="str">
        <f>IF(AND(J199&gt;'P&amp;L'!$C$23, COUNTIF($O$4:O198, "Short") &gt; COUNTIF($Q$4:Q198, "Close")), "Close", "")</f>
        <v/>
      </c>
      <c r="R199" s="6">
        <v>143754.5</v>
      </c>
    </row>
    <row r="200" spans="1:18" x14ac:dyDescent="0.35">
      <c r="A200" s="12">
        <v>42758</v>
      </c>
      <c r="B200" s="1">
        <v>807.25</v>
      </c>
      <c r="C200" s="1">
        <v>820.87</v>
      </c>
      <c r="D200" s="1">
        <v>803.74</v>
      </c>
      <c r="E200" s="1">
        <v>819.31</v>
      </c>
      <c r="F200" s="1">
        <v>1963628</v>
      </c>
      <c r="G200" s="6">
        <f t="shared" si="14"/>
        <v>814.83904761904773</v>
      </c>
      <c r="H200" s="6">
        <f t="shared" si="10"/>
        <v>841.95</v>
      </c>
      <c r="I200" s="6">
        <f t="shared" si="11"/>
        <v>790.52</v>
      </c>
      <c r="J200" s="6">
        <f t="shared" si="12"/>
        <v>55.979000583316981</v>
      </c>
      <c r="K200" s="6">
        <f t="shared" si="13"/>
        <v>69.537883206947839</v>
      </c>
      <c r="L200" s="4" t="str">
        <f>IF(AND(E200&gt;G200, J200&gt;'P&amp;L'!$C$23, COUNTIF($L$4:L199, "Long")=COUNTIF($N$4:N199, "Close")), "Long", "")</f>
        <v>Long</v>
      </c>
      <c r="M200" s="4">
        <f>IF(L200="Long", E200*'P&amp;L'!$C$21,"")</f>
        <v>40965.5</v>
      </c>
      <c r="N200" s="4" t="str">
        <f>IF(AND(J200&gt;'P&amp;L'!$C$24, COUNTIF($L$4:L199, "Long") &gt; COUNTIF($N$4:N199, "Close")), "Close", "")</f>
        <v/>
      </c>
      <c r="O200" s="5" t="str">
        <f>IF(AND(E200&lt;G200, J200&lt;'P&amp;L'!$C$24, J199&gt;'P&amp;L'!$C$24, COUNTIF($O$4:O199, "Short")=COUNTIF($Q$4:Q199, "Close")), "Short", "")</f>
        <v/>
      </c>
      <c r="P200" s="5" t="str">
        <f>IF(O200="Short", E200*'P&amp;L'!$C$21, "")</f>
        <v/>
      </c>
      <c r="Q200" s="5" t="str">
        <f>IF(AND(J200&gt;'P&amp;L'!$C$23, COUNTIF($O$4:O199, "Short") &gt; COUNTIF($Q$4:Q199, "Close")), "Close", "")</f>
        <v/>
      </c>
      <c r="R200" s="6">
        <v>102789</v>
      </c>
    </row>
    <row r="201" spans="1:18" x14ac:dyDescent="0.35">
      <c r="A201" s="12">
        <v>42755</v>
      </c>
      <c r="B201" s="1">
        <v>806.91</v>
      </c>
      <c r="C201" s="1">
        <v>806.91</v>
      </c>
      <c r="D201" s="1">
        <v>801.69</v>
      </c>
      <c r="E201" s="1">
        <v>805.02</v>
      </c>
      <c r="F201" s="1">
        <v>1670045</v>
      </c>
      <c r="G201" s="6">
        <f t="shared" si="14"/>
        <v>813.57047619047614</v>
      </c>
      <c r="H201" s="6">
        <f t="shared" si="10"/>
        <v>841.95</v>
      </c>
      <c r="I201" s="6">
        <f t="shared" si="11"/>
        <v>790.52</v>
      </c>
      <c r="J201" s="6">
        <f t="shared" si="12"/>
        <v>28.193661287186433</v>
      </c>
      <c r="K201" s="6">
        <f t="shared" si="13"/>
        <v>49.672694277010756</v>
      </c>
      <c r="L201" s="4" t="str">
        <f>IF(AND(E201&gt;G201, J201&gt;'P&amp;L'!$C$23, COUNTIF($L$4:L200, "Long")=COUNTIF($N$4:N200, "Close")), "Long", "")</f>
        <v/>
      </c>
      <c r="M201" s="4" t="str">
        <f>IF(L201="Long", E201*'P&amp;L'!$C$21,"")</f>
        <v/>
      </c>
      <c r="N201" s="4" t="str">
        <f>IF(AND(J201&gt;'P&amp;L'!$C$24, COUNTIF($L$4:L200, "Long") &gt; COUNTIF($N$4:N200, "Close")), "Close", "")</f>
        <v/>
      </c>
      <c r="O201" s="5" t="str">
        <f>IF(AND(E201&lt;G201, J201&lt;'P&amp;L'!$C$24, J200&gt;'P&amp;L'!$C$24, COUNTIF($O$4:O200, "Short")=COUNTIF($Q$4:Q200, "Close")), "Short", "")</f>
        <v>Short</v>
      </c>
      <c r="P201" s="5">
        <f>IF(O201="Short", E201*'P&amp;L'!$C$21, "")</f>
        <v>40251</v>
      </c>
      <c r="Q201" s="5" t="str">
        <f>IF(AND(J201&gt;'P&amp;L'!$C$23, COUNTIF($O$4:O200, "Short") &gt; COUNTIF($Q$4:Q200, "Close")), "Close", "")</f>
        <v/>
      </c>
      <c r="R201" s="6">
        <v>143040</v>
      </c>
    </row>
    <row r="202" spans="1:18" x14ac:dyDescent="0.35">
      <c r="A202" s="12">
        <v>42754</v>
      </c>
      <c r="B202" s="1">
        <v>805.12</v>
      </c>
      <c r="C202" s="1">
        <v>809.48</v>
      </c>
      <c r="D202" s="1">
        <v>801.8</v>
      </c>
      <c r="E202" s="1">
        <v>802.18</v>
      </c>
      <c r="F202" s="1">
        <v>919325</v>
      </c>
      <c r="G202" s="6">
        <f t="shared" si="14"/>
        <v>812.337619047619</v>
      </c>
      <c r="H202" s="6">
        <f t="shared" si="10"/>
        <v>841.95</v>
      </c>
      <c r="I202" s="6">
        <f t="shared" si="11"/>
        <v>790.52</v>
      </c>
      <c r="J202" s="6">
        <f t="shared" si="12"/>
        <v>22.671592455765026</v>
      </c>
      <c r="K202" s="6">
        <f t="shared" si="13"/>
        <v>35.614751442089478</v>
      </c>
      <c r="L202" s="4" t="str">
        <f>IF(AND(E202&gt;G202, J202&gt;'P&amp;L'!$C$23, COUNTIF($L$4:L201, "Long")=COUNTIF($N$4:N201, "Close")), "Long", "")</f>
        <v/>
      </c>
      <c r="M202" s="4" t="str">
        <f>IF(L202="Long", E202*'P&amp;L'!$C$21,"")</f>
        <v/>
      </c>
      <c r="N202" s="4" t="str">
        <f>IF(AND(J202&gt;'P&amp;L'!$C$24, COUNTIF($L$4:L201, "Long") &gt; COUNTIF($N$4:N201, "Close")), "Close", "")</f>
        <v/>
      </c>
      <c r="O202" s="5" t="str">
        <f>IF(AND(E202&lt;G202, J202&lt;'P&amp;L'!$C$24, J201&gt;'P&amp;L'!$C$24, COUNTIF($O$4:O201, "Short")=COUNTIF($Q$4:Q201, "Close")), "Short", "")</f>
        <v/>
      </c>
      <c r="P202" s="5" t="str">
        <f>IF(O202="Short", E202*'P&amp;L'!$C$21, "")</f>
        <v/>
      </c>
      <c r="Q202" s="5" t="str">
        <f>IF(AND(J202&gt;'P&amp;L'!$C$23, COUNTIF($O$4:O201, "Short") &gt; COUNTIF($Q$4:Q201, "Close")), "Close", "")</f>
        <v>Close</v>
      </c>
      <c r="R202" s="6">
        <v>102931</v>
      </c>
    </row>
    <row r="203" spans="1:18" x14ac:dyDescent="0.35">
      <c r="A203" s="12">
        <v>42753</v>
      </c>
      <c r="B203" s="1">
        <v>805.81</v>
      </c>
      <c r="C203" s="1">
        <v>806.2</v>
      </c>
      <c r="D203" s="1">
        <v>800.99</v>
      </c>
      <c r="E203" s="1">
        <v>806.07</v>
      </c>
      <c r="F203" s="1">
        <v>1294407</v>
      </c>
      <c r="G203" s="6">
        <f t="shared" si="14"/>
        <v>811.47619047619048</v>
      </c>
      <c r="H203" s="6">
        <f t="shared" si="10"/>
        <v>841.95</v>
      </c>
      <c r="I203" s="6">
        <f t="shared" si="11"/>
        <v>790.52</v>
      </c>
      <c r="J203" s="6">
        <f t="shared" si="12"/>
        <v>30.235271242465583</v>
      </c>
      <c r="K203" s="6">
        <f t="shared" si="13"/>
        <v>27.033508328472347</v>
      </c>
      <c r="L203" s="4" t="str">
        <f>IF(AND(E203&gt;G203, J203&gt;'P&amp;L'!$C$23, COUNTIF($L$4:L202, "Long")=COUNTIF($N$4:N202, "Close")), "Long", "")</f>
        <v/>
      </c>
      <c r="M203" s="4" t="str">
        <f>IF(L203="Long", E203*'P&amp;L'!$C$21,"")</f>
        <v/>
      </c>
      <c r="N203" s="4" t="str">
        <f>IF(AND(J203&gt;'P&amp;L'!$C$24, COUNTIF($L$4:L202, "Long") &gt; COUNTIF($N$4:N202, "Close")), "Close", "")</f>
        <v/>
      </c>
      <c r="O203" s="5" t="str">
        <f>IF(AND(E203&lt;G203, J203&lt;'P&amp;L'!$C$24, J202&gt;'P&amp;L'!$C$24, COUNTIF($O$4:O202, "Short")=COUNTIF($Q$4:Q202, "Close")), "Short", "")</f>
        <v/>
      </c>
      <c r="P203" s="5" t="str">
        <f>IF(O203="Short", E203*'P&amp;L'!$C$21, "")</f>
        <v/>
      </c>
      <c r="Q203" s="5" t="str">
        <f>IF(AND(J203&gt;'P&amp;L'!$C$23, COUNTIF($O$4:O202, "Short") &gt; COUNTIF($Q$4:Q202, "Close")), "Close", "")</f>
        <v/>
      </c>
      <c r="R203" s="6">
        <v>102931</v>
      </c>
    </row>
    <row r="204" spans="1:18" x14ac:dyDescent="0.35">
      <c r="A204" s="12">
        <v>42752</v>
      </c>
      <c r="B204" s="1">
        <v>807.08</v>
      </c>
      <c r="C204" s="1">
        <v>807.14</v>
      </c>
      <c r="D204" s="1">
        <v>800.37</v>
      </c>
      <c r="E204" s="1">
        <v>804.61</v>
      </c>
      <c r="F204" s="1">
        <v>1362115</v>
      </c>
      <c r="G204" s="6">
        <f t="shared" si="14"/>
        <v>810.79190476190468</v>
      </c>
      <c r="H204" s="6">
        <f t="shared" si="10"/>
        <v>841.95</v>
      </c>
      <c r="I204" s="6">
        <f t="shared" si="11"/>
        <v>790.52</v>
      </c>
      <c r="J204" s="6">
        <f t="shared" si="12"/>
        <v>27.396461209410877</v>
      </c>
      <c r="K204" s="6">
        <f t="shared" si="13"/>
        <v>26.767774969213828</v>
      </c>
      <c r="L204" s="4" t="str">
        <f>IF(AND(E204&gt;G204, J204&gt;'P&amp;L'!$C$23, COUNTIF($L$4:L203, "Long")=COUNTIF($N$4:N203, "Close")), "Long", "")</f>
        <v/>
      </c>
      <c r="M204" s="4" t="str">
        <f>IF(L204="Long", E204*'P&amp;L'!$C$21,"")</f>
        <v/>
      </c>
      <c r="N204" s="4" t="str">
        <f>IF(AND(J204&gt;'P&amp;L'!$C$24, COUNTIF($L$4:L203, "Long") &gt; COUNTIF($N$4:N203, "Close")), "Close", "")</f>
        <v/>
      </c>
      <c r="O204" s="5" t="str">
        <f>IF(AND(E204&lt;G204, J204&lt;'P&amp;L'!$C$24, J203&gt;'P&amp;L'!$C$24, COUNTIF($O$4:O203, "Short")=COUNTIF($Q$4:Q203, "Close")), "Short", "")</f>
        <v/>
      </c>
      <c r="P204" s="5" t="str">
        <f>IF(O204="Short", E204*'P&amp;L'!$C$21, "")</f>
        <v/>
      </c>
      <c r="Q204" s="5" t="str">
        <f>IF(AND(J204&gt;'P&amp;L'!$C$23, COUNTIF($O$4:O203, "Short") &gt; COUNTIF($Q$4:Q203, "Close")), "Close", "")</f>
        <v/>
      </c>
      <c r="R204" s="6">
        <v>102931</v>
      </c>
    </row>
    <row r="205" spans="1:18" x14ac:dyDescent="0.35">
      <c r="A205" s="12">
        <v>42748</v>
      </c>
      <c r="B205" s="1">
        <v>807.48</v>
      </c>
      <c r="C205" s="1">
        <v>811.22</v>
      </c>
      <c r="D205" s="1">
        <v>806.69</v>
      </c>
      <c r="E205" s="1">
        <v>807.88</v>
      </c>
      <c r="F205" s="1">
        <v>1099215</v>
      </c>
      <c r="G205" s="6">
        <f t="shared" si="14"/>
        <v>810.19333333333338</v>
      </c>
      <c r="H205" s="6">
        <f t="shared" si="10"/>
        <v>841.95</v>
      </c>
      <c r="I205" s="6">
        <f t="shared" si="11"/>
        <v>790.52</v>
      </c>
      <c r="J205" s="6">
        <f t="shared" si="12"/>
        <v>33.754617927279781</v>
      </c>
      <c r="K205" s="6">
        <f t="shared" si="13"/>
        <v>30.462116793052079</v>
      </c>
      <c r="L205" s="4" t="str">
        <f>IF(AND(E205&gt;G205, J205&gt;'P&amp;L'!$C$23, COUNTIF($L$4:L204, "Long")=COUNTIF($N$4:N204, "Close")), "Long", "")</f>
        <v/>
      </c>
      <c r="M205" s="4" t="str">
        <f>IF(L205="Long", E205*'P&amp;L'!$C$21,"")</f>
        <v/>
      </c>
      <c r="N205" s="4" t="str">
        <f>IF(AND(J205&gt;'P&amp;L'!$C$24, COUNTIF($L$4:L204, "Long") &gt; COUNTIF($N$4:N204, "Close")), "Close", "")</f>
        <v/>
      </c>
      <c r="O205" s="5" t="str">
        <f>IF(AND(E205&lt;G205, J205&lt;'P&amp;L'!$C$24, J204&gt;'P&amp;L'!$C$24, COUNTIF($O$4:O204, "Short")=COUNTIF($Q$4:Q204, "Close")), "Short", "")</f>
        <v/>
      </c>
      <c r="P205" s="5" t="str">
        <f>IF(O205="Short", E205*'P&amp;L'!$C$21, "")</f>
        <v/>
      </c>
      <c r="Q205" s="5" t="str">
        <f>IF(AND(J205&gt;'P&amp;L'!$C$23, COUNTIF($O$4:O204, "Short") &gt; COUNTIF($Q$4:Q204, "Close")), "Close", "")</f>
        <v/>
      </c>
      <c r="R205" s="6">
        <v>102931</v>
      </c>
    </row>
    <row r="206" spans="1:18" x14ac:dyDescent="0.35">
      <c r="A206" s="12">
        <v>42747</v>
      </c>
      <c r="B206" s="1">
        <v>807.14</v>
      </c>
      <c r="C206" s="1">
        <v>807.39</v>
      </c>
      <c r="D206" s="1">
        <v>799.17</v>
      </c>
      <c r="E206" s="1">
        <v>806.36</v>
      </c>
      <c r="F206" s="1">
        <v>1353057</v>
      </c>
      <c r="G206" s="6">
        <f t="shared" si="14"/>
        <v>809.58</v>
      </c>
      <c r="H206" s="6">
        <f t="shared" si="10"/>
        <v>841.95</v>
      </c>
      <c r="I206" s="6">
        <f t="shared" si="11"/>
        <v>790.52</v>
      </c>
      <c r="J206" s="6">
        <f t="shared" si="12"/>
        <v>30.799144468209239</v>
      </c>
      <c r="K206" s="6">
        <f t="shared" si="13"/>
        <v>30.650074534966631</v>
      </c>
      <c r="L206" s="4" t="str">
        <f>IF(AND(E206&gt;G206, J206&gt;'P&amp;L'!$C$23, COUNTIF($L$4:L205, "Long")=COUNTIF($N$4:N205, "Close")), "Long", "")</f>
        <v/>
      </c>
      <c r="M206" s="4" t="str">
        <f>IF(L206="Long", E206*'P&amp;L'!$C$21,"")</f>
        <v/>
      </c>
      <c r="N206" s="4" t="str">
        <f>IF(AND(J206&gt;'P&amp;L'!$C$24, COUNTIF($L$4:L205, "Long") &gt; COUNTIF($N$4:N205, "Close")), "Close", "")</f>
        <v/>
      </c>
      <c r="O206" s="5" t="str">
        <f>IF(AND(E206&lt;G206, J206&lt;'P&amp;L'!$C$24, J205&gt;'P&amp;L'!$C$24, COUNTIF($O$4:O205, "Short")=COUNTIF($Q$4:Q205, "Close")), "Short", "")</f>
        <v/>
      </c>
      <c r="P206" s="5" t="str">
        <f>IF(O206="Short", E206*'P&amp;L'!$C$21, "")</f>
        <v/>
      </c>
      <c r="Q206" s="5" t="str">
        <f>IF(AND(J206&gt;'P&amp;L'!$C$23, COUNTIF($O$4:O205, "Short") &gt; COUNTIF($Q$4:Q205, "Close")), "Close", "")</f>
        <v/>
      </c>
      <c r="R206" s="6">
        <v>102931</v>
      </c>
    </row>
    <row r="207" spans="1:18" x14ac:dyDescent="0.35">
      <c r="A207" s="12">
        <v>42746</v>
      </c>
      <c r="B207" s="1">
        <v>805</v>
      </c>
      <c r="C207" s="1">
        <v>808.15</v>
      </c>
      <c r="D207" s="1">
        <v>801.37</v>
      </c>
      <c r="E207" s="1">
        <v>807.91</v>
      </c>
      <c r="F207" s="1">
        <v>1065936</v>
      </c>
      <c r="G207" s="6">
        <f t="shared" si="14"/>
        <v>809.30571428571443</v>
      </c>
      <c r="H207" s="6">
        <f t="shared" si="10"/>
        <v>841.95</v>
      </c>
      <c r="I207" s="6">
        <f t="shared" si="11"/>
        <v>790.52</v>
      </c>
      <c r="J207" s="6">
        <f t="shared" si="12"/>
        <v>33.812949640287705</v>
      </c>
      <c r="K207" s="6">
        <f t="shared" si="13"/>
        <v>32.788904011925574</v>
      </c>
      <c r="L207" s="4" t="str">
        <f>IF(AND(E207&gt;G207, J207&gt;'P&amp;L'!$C$23, COUNTIF($L$4:L206, "Long")=COUNTIF($N$4:N206, "Close")), "Long", "")</f>
        <v/>
      </c>
      <c r="M207" s="4" t="str">
        <f>IF(L207="Long", E207*'P&amp;L'!$C$21,"")</f>
        <v/>
      </c>
      <c r="N207" s="4" t="str">
        <f>IF(AND(J207&gt;'P&amp;L'!$C$24, COUNTIF($L$4:L206, "Long") &gt; COUNTIF($N$4:N206, "Close")), "Close", "")</f>
        <v/>
      </c>
      <c r="O207" s="5" t="str">
        <f>IF(AND(E207&lt;G207, J207&lt;'P&amp;L'!$C$24, J206&gt;'P&amp;L'!$C$24, COUNTIF($O$4:O206, "Short")=COUNTIF($Q$4:Q206, "Close")), "Short", "")</f>
        <v/>
      </c>
      <c r="P207" s="5" t="str">
        <f>IF(O207="Short", E207*'P&amp;L'!$C$21, "")</f>
        <v/>
      </c>
      <c r="Q207" s="5" t="str">
        <f>IF(AND(J207&gt;'P&amp;L'!$C$23, COUNTIF($O$4:O206, "Short") &gt; COUNTIF($Q$4:Q206, "Close")), "Close", "")</f>
        <v/>
      </c>
      <c r="R207" s="6">
        <v>102931</v>
      </c>
    </row>
    <row r="208" spans="1:18" x14ac:dyDescent="0.35">
      <c r="A208" s="12">
        <v>42745</v>
      </c>
      <c r="B208" s="1">
        <v>807.86</v>
      </c>
      <c r="C208" s="1">
        <v>809.13</v>
      </c>
      <c r="D208" s="1">
        <v>803.51</v>
      </c>
      <c r="E208" s="1">
        <v>804.79</v>
      </c>
      <c r="F208" s="1">
        <v>1176780</v>
      </c>
      <c r="G208" s="6">
        <f t="shared" si="14"/>
        <v>809.07857142857154</v>
      </c>
      <c r="H208" s="6">
        <f t="shared" si="10"/>
        <v>841.95</v>
      </c>
      <c r="I208" s="6">
        <f t="shared" si="11"/>
        <v>790.52</v>
      </c>
      <c r="J208" s="6">
        <f t="shared" si="12"/>
        <v>27.746451487458611</v>
      </c>
      <c r="K208" s="6">
        <f t="shared" si="13"/>
        <v>30.786181865318522</v>
      </c>
      <c r="L208" s="4" t="str">
        <f>IF(AND(E208&gt;G208, J208&gt;'P&amp;L'!$C$23, COUNTIF($L$4:L207, "Long")=COUNTIF($N$4:N207, "Close")), "Long", "")</f>
        <v/>
      </c>
      <c r="M208" s="4" t="str">
        <f>IF(L208="Long", E208*'P&amp;L'!$C$21,"")</f>
        <v/>
      </c>
      <c r="N208" s="4" t="str">
        <f>IF(AND(J208&gt;'P&amp;L'!$C$24, COUNTIF($L$4:L207, "Long") &gt; COUNTIF($N$4:N207, "Close")), "Close", "")</f>
        <v/>
      </c>
      <c r="O208" s="5" t="str">
        <f>IF(AND(E208&lt;G208, J208&lt;'P&amp;L'!$C$24, J207&gt;'P&amp;L'!$C$24, COUNTIF($O$4:O207, "Short")=COUNTIF($Q$4:Q207, "Close")), "Short", "")</f>
        <v/>
      </c>
      <c r="P208" s="5" t="str">
        <f>IF(O208="Short", E208*'P&amp;L'!$C$21, "")</f>
        <v/>
      </c>
      <c r="Q208" s="5" t="str">
        <f>IF(AND(J208&gt;'P&amp;L'!$C$23, COUNTIF($O$4:O207, "Short") &gt; COUNTIF($Q$4:Q207, "Close")), "Close", "")</f>
        <v/>
      </c>
      <c r="R208" s="6">
        <v>102931</v>
      </c>
    </row>
    <row r="209" spans="1:18" x14ac:dyDescent="0.35">
      <c r="A209" s="12">
        <v>42744</v>
      </c>
      <c r="B209" s="1">
        <v>806.4</v>
      </c>
      <c r="C209" s="1">
        <v>809.97</v>
      </c>
      <c r="D209" s="1">
        <v>802.83</v>
      </c>
      <c r="E209" s="1">
        <v>806.65</v>
      </c>
      <c r="F209" s="1">
        <v>1274645</v>
      </c>
      <c r="G209" s="6">
        <f t="shared" si="14"/>
        <v>808.99619047619058</v>
      </c>
      <c r="H209" s="6">
        <f t="shared" si="10"/>
        <v>841.95</v>
      </c>
      <c r="I209" s="6">
        <f t="shared" si="11"/>
        <v>799.17</v>
      </c>
      <c r="J209" s="6">
        <f t="shared" si="12"/>
        <v>17.484805984104728</v>
      </c>
      <c r="K209" s="6">
        <f t="shared" si="13"/>
        <v>26.348069037283679</v>
      </c>
      <c r="L209" s="4" t="str">
        <f>IF(AND(E209&gt;G209, J209&gt;'P&amp;L'!$C$23, COUNTIF($L$4:L208, "Long")=COUNTIF($N$4:N208, "Close")), "Long", "")</f>
        <v/>
      </c>
      <c r="M209" s="4" t="str">
        <f>IF(L209="Long", E209*'P&amp;L'!$C$21,"")</f>
        <v/>
      </c>
      <c r="N209" s="4" t="str">
        <f>IF(AND(J209&gt;'P&amp;L'!$C$24, COUNTIF($L$4:L208, "Long") &gt; COUNTIF($N$4:N208, "Close")), "Close", "")</f>
        <v/>
      </c>
      <c r="O209" s="5" t="str">
        <f>IF(AND(E209&lt;G209, J209&lt;'P&amp;L'!$C$24, J208&gt;'P&amp;L'!$C$24, COUNTIF($O$4:O208, "Short")=COUNTIF($Q$4:Q208, "Close")), "Short", "")</f>
        <v/>
      </c>
      <c r="P209" s="5" t="str">
        <f>IF(O209="Short", E209*'P&amp;L'!$C$21, "")</f>
        <v/>
      </c>
      <c r="Q209" s="5" t="str">
        <f>IF(AND(J209&gt;'P&amp;L'!$C$23, COUNTIF($O$4:O208, "Short") &gt; COUNTIF($Q$4:Q208, "Close")), "Close", "")</f>
        <v/>
      </c>
      <c r="R209" s="6">
        <v>102931</v>
      </c>
    </row>
    <row r="210" spans="1:18" x14ac:dyDescent="0.35">
      <c r="A210" s="12">
        <v>42741</v>
      </c>
      <c r="B210" s="1">
        <v>795.26</v>
      </c>
      <c r="C210" s="1">
        <v>807.9</v>
      </c>
      <c r="D210" s="1">
        <v>792.2</v>
      </c>
      <c r="E210" s="1">
        <v>806.15</v>
      </c>
      <c r="F210" s="1">
        <v>1640170</v>
      </c>
      <c r="G210" s="6">
        <f t="shared" si="14"/>
        <v>808.9571428571428</v>
      </c>
      <c r="H210" s="6">
        <f t="shared" si="10"/>
        <v>841.95</v>
      </c>
      <c r="I210" s="6">
        <f t="shared" si="11"/>
        <v>792.2</v>
      </c>
      <c r="J210" s="6">
        <f t="shared" si="12"/>
        <v>28.04020100502499</v>
      </c>
      <c r="K210" s="6">
        <f t="shared" si="13"/>
        <v>24.423819492196106</v>
      </c>
      <c r="L210" s="4" t="str">
        <f>IF(AND(E210&gt;G210, J210&gt;'P&amp;L'!$C$23, COUNTIF($L$4:L209, "Long")=COUNTIF($N$4:N209, "Close")), "Long", "")</f>
        <v/>
      </c>
      <c r="M210" s="4" t="str">
        <f>IF(L210="Long", E210*'P&amp;L'!$C$21,"")</f>
        <v/>
      </c>
      <c r="N210" s="4" t="str">
        <f>IF(AND(J210&gt;'P&amp;L'!$C$24, COUNTIF($L$4:L209, "Long") &gt; COUNTIF($N$4:N209, "Close")), "Close", "")</f>
        <v/>
      </c>
      <c r="O210" s="5" t="str">
        <f>IF(AND(E210&lt;G210, J210&lt;'P&amp;L'!$C$24, J209&gt;'P&amp;L'!$C$24, COUNTIF($O$4:O209, "Short")=COUNTIF($Q$4:Q209, "Close")), "Short", "")</f>
        <v/>
      </c>
      <c r="P210" s="5" t="str">
        <f>IF(O210="Short", E210*'P&amp;L'!$C$21, "")</f>
        <v/>
      </c>
      <c r="Q210" s="5" t="str">
        <f>IF(AND(J210&gt;'P&amp;L'!$C$23, COUNTIF($O$4:O209, "Short") &gt; COUNTIF($Q$4:Q209, "Close")), "Close", "")</f>
        <v/>
      </c>
      <c r="R210" s="6">
        <v>102931</v>
      </c>
    </row>
    <row r="211" spans="1:18" x14ac:dyDescent="0.35">
      <c r="A211" s="12">
        <v>42740</v>
      </c>
      <c r="B211" s="1">
        <v>786.08</v>
      </c>
      <c r="C211" s="1">
        <v>794.48</v>
      </c>
      <c r="D211" s="1">
        <v>785.02</v>
      </c>
      <c r="E211" s="1">
        <v>794.02</v>
      </c>
      <c r="F211" s="1">
        <v>1335167</v>
      </c>
      <c r="G211" s="6">
        <f t="shared" si="14"/>
        <v>808.60857142857139</v>
      </c>
      <c r="H211" s="6">
        <f t="shared" ref="H211:H254" si="15">MAX(C197:C211)</f>
        <v>838</v>
      </c>
      <c r="I211" s="6">
        <f t="shared" ref="I211:I254" si="16">MIN(D197:D211)</f>
        <v>785.02</v>
      </c>
      <c r="J211" s="6">
        <f t="shared" ref="J211:J254" si="17">(E211-I211)/(H211-I211)*100</f>
        <v>16.987542468856166</v>
      </c>
      <c r="K211" s="6">
        <f t="shared" si="13"/>
        <v>20.837516485995295</v>
      </c>
      <c r="L211" s="4" t="str">
        <f>IF(AND(E211&gt;G211, J211&gt;'P&amp;L'!$C$23, COUNTIF($L$4:L210, "Long")=COUNTIF($N$4:N210, "Close")), "Long", "")</f>
        <v/>
      </c>
      <c r="M211" s="4" t="str">
        <f>IF(L211="Long", E211*'P&amp;L'!$C$21,"")</f>
        <v/>
      </c>
      <c r="N211" s="4" t="str">
        <f>IF(AND(J211&gt;'P&amp;L'!$C$24, COUNTIF($L$4:L210, "Long") &gt; COUNTIF($N$4:N210, "Close")), "Close", "")</f>
        <v/>
      </c>
      <c r="O211" s="5" t="str">
        <f>IF(AND(E211&lt;G211, J211&lt;'P&amp;L'!$C$24, J210&gt;'P&amp;L'!$C$24, COUNTIF($O$4:O210, "Short")=COUNTIF($Q$4:Q210, "Close")), "Short", "")</f>
        <v/>
      </c>
      <c r="P211" s="5" t="str">
        <f>IF(O211="Short", E211*'P&amp;L'!$C$21, "")</f>
        <v/>
      </c>
      <c r="Q211" s="5" t="str">
        <f>IF(AND(J211&gt;'P&amp;L'!$C$23, COUNTIF($O$4:O210, "Short") &gt; COUNTIF($Q$4:Q210, "Close")), "Close", "")</f>
        <v/>
      </c>
      <c r="R211" s="6">
        <v>102931</v>
      </c>
    </row>
    <row r="212" spans="1:18" x14ac:dyDescent="0.35">
      <c r="A212" s="12">
        <v>42739</v>
      </c>
      <c r="B212" s="1">
        <v>788.36</v>
      </c>
      <c r="C212" s="1">
        <v>791.34</v>
      </c>
      <c r="D212" s="1">
        <v>783.16</v>
      </c>
      <c r="E212" s="1">
        <v>786.9</v>
      </c>
      <c r="F212" s="1">
        <v>1072958</v>
      </c>
      <c r="G212" s="6">
        <f t="shared" si="14"/>
        <v>807.91380952380962</v>
      </c>
      <c r="H212" s="6">
        <f t="shared" si="15"/>
        <v>835.77</v>
      </c>
      <c r="I212" s="6">
        <f t="shared" si="16"/>
        <v>783.16</v>
      </c>
      <c r="J212" s="6">
        <f t="shared" si="17"/>
        <v>7.1089146550085687</v>
      </c>
      <c r="K212" s="6">
        <f t="shared" si="13"/>
        <v>17.378886042963241</v>
      </c>
      <c r="L212" s="4" t="str">
        <f>IF(AND(E212&gt;G212, J212&gt;'P&amp;L'!$C$23, COUNTIF($L$4:L211, "Long")=COUNTIF($N$4:N211, "Close")), "Long", "")</f>
        <v/>
      </c>
      <c r="M212" s="4" t="str">
        <f>IF(L212="Long", E212*'P&amp;L'!$C$21,"")</f>
        <v/>
      </c>
      <c r="N212" s="4" t="str">
        <f>IF(AND(J212&gt;'P&amp;L'!$C$24, COUNTIF($L$4:L211, "Long") &gt; COUNTIF($N$4:N211, "Close")), "Close", "")</f>
        <v/>
      </c>
      <c r="O212" s="5" t="str">
        <f>IF(AND(E212&lt;G212, J212&lt;'P&amp;L'!$C$24, J211&gt;'P&amp;L'!$C$24, COUNTIF($O$4:O211, "Short")=COUNTIF($Q$4:Q211, "Close")), "Short", "")</f>
        <v/>
      </c>
      <c r="P212" s="5" t="str">
        <f>IF(O212="Short", E212*'P&amp;L'!$C$21, "")</f>
        <v/>
      </c>
      <c r="Q212" s="5" t="str">
        <f>IF(AND(J212&gt;'P&amp;L'!$C$23, COUNTIF($O$4:O211, "Short") &gt; COUNTIF($Q$4:Q211, "Close")), "Close", "")</f>
        <v/>
      </c>
      <c r="R212" s="6">
        <v>102931</v>
      </c>
    </row>
    <row r="213" spans="1:18" x14ac:dyDescent="0.35">
      <c r="A213" s="12">
        <v>42738</v>
      </c>
      <c r="B213" s="1">
        <v>778.81</v>
      </c>
      <c r="C213" s="1">
        <v>789.63</v>
      </c>
      <c r="D213" s="1">
        <v>775.8</v>
      </c>
      <c r="E213" s="1">
        <v>786.14</v>
      </c>
      <c r="F213" s="1">
        <v>1657268</v>
      </c>
      <c r="G213" s="6">
        <f t="shared" si="14"/>
        <v>807.32380952380947</v>
      </c>
      <c r="H213" s="6">
        <f t="shared" si="15"/>
        <v>825.9</v>
      </c>
      <c r="I213" s="6">
        <f t="shared" si="16"/>
        <v>775.8</v>
      </c>
      <c r="J213" s="6">
        <f t="shared" si="17"/>
        <v>20.638722554890272</v>
      </c>
      <c r="K213" s="6">
        <f t="shared" ref="K213:K254" si="18">AVERAGE(J211:J213)</f>
        <v>14.911726559585</v>
      </c>
      <c r="L213" s="4" t="str">
        <f>IF(AND(E213&gt;G213, J213&gt;'P&amp;L'!$C$23, COUNTIF($L$4:L212, "Long")=COUNTIF($N$4:N212, "Close")), "Long", "")</f>
        <v/>
      </c>
      <c r="M213" s="4" t="str">
        <f>IF(L213="Long", E213*'P&amp;L'!$C$21,"")</f>
        <v/>
      </c>
      <c r="N213" s="4" t="str">
        <f>IF(AND(J213&gt;'P&amp;L'!$C$24, COUNTIF($L$4:L212, "Long") &gt; COUNTIF($N$4:N212, "Close")), "Close", "")</f>
        <v/>
      </c>
      <c r="O213" s="5" t="str">
        <f>IF(AND(E213&lt;G213, J213&lt;'P&amp;L'!$C$24, J212&gt;'P&amp;L'!$C$24, COUNTIF($O$4:O212, "Short")=COUNTIF($Q$4:Q212, "Close")), "Short", "")</f>
        <v/>
      </c>
      <c r="P213" s="5" t="str">
        <f>IF(O213="Short", E213*'P&amp;L'!$C$21, "")</f>
        <v/>
      </c>
      <c r="Q213" s="5" t="str">
        <f>IF(AND(J213&gt;'P&amp;L'!$C$23, COUNTIF($O$4:O212, "Short") &gt; COUNTIF($Q$4:Q212, "Close")), "Close", "")</f>
        <v/>
      </c>
      <c r="R213" s="6">
        <v>102931</v>
      </c>
    </row>
    <row r="214" spans="1:18" x14ac:dyDescent="0.35">
      <c r="A214" s="12">
        <v>42734</v>
      </c>
      <c r="B214" s="1">
        <v>782.75</v>
      </c>
      <c r="C214" s="1">
        <v>782.78</v>
      </c>
      <c r="D214" s="1">
        <v>770.41</v>
      </c>
      <c r="E214" s="1">
        <v>771.82</v>
      </c>
      <c r="F214" s="1">
        <v>1769950</v>
      </c>
      <c r="G214" s="6">
        <f t="shared" si="14"/>
        <v>806.18666666666672</v>
      </c>
      <c r="H214" s="6">
        <f t="shared" si="15"/>
        <v>820.87</v>
      </c>
      <c r="I214" s="6">
        <f t="shared" si="16"/>
        <v>770.41</v>
      </c>
      <c r="J214" s="6">
        <f t="shared" si="17"/>
        <v>2.7942925089181148</v>
      </c>
      <c r="K214" s="6">
        <f t="shared" si="18"/>
        <v>10.180643239605653</v>
      </c>
      <c r="L214" s="4" t="str">
        <f>IF(AND(E214&gt;G214, J214&gt;'P&amp;L'!$C$23, COUNTIF($L$4:L213, "Long")=COUNTIF($N$4:N213, "Close")), "Long", "")</f>
        <v/>
      </c>
      <c r="M214" s="4" t="str">
        <f>IF(L214="Long", E214*'P&amp;L'!$C$21,"")</f>
        <v/>
      </c>
      <c r="N214" s="4" t="str">
        <f>IF(AND(J214&gt;'P&amp;L'!$C$24, COUNTIF($L$4:L213, "Long") &gt; COUNTIF($N$4:N213, "Close")), "Close", "")</f>
        <v/>
      </c>
      <c r="O214" s="5" t="str">
        <f>IF(AND(E214&lt;G214, J214&lt;'P&amp;L'!$C$24, J213&gt;'P&amp;L'!$C$24, COUNTIF($O$4:O213, "Short")=COUNTIF($Q$4:Q213, "Close")), "Short", "")</f>
        <v/>
      </c>
      <c r="P214" s="5" t="str">
        <f>IF(O214="Short", E214*'P&amp;L'!$C$21, "")</f>
        <v/>
      </c>
      <c r="Q214" s="5" t="str">
        <f>IF(AND(J214&gt;'P&amp;L'!$C$23, COUNTIF($O$4:O213, "Short") &gt; COUNTIF($Q$4:Q213, "Close")), "Close", "")</f>
        <v/>
      </c>
      <c r="R214" s="6">
        <v>102931</v>
      </c>
    </row>
    <row r="215" spans="1:18" x14ac:dyDescent="0.35">
      <c r="A215" s="12">
        <v>42733</v>
      </c>
      <c r="B215" s="1">
        <v>783.33</v>
      </c>
      <c r="C215" s="1">
        <v>785.93</v>
      </c>
      <c r="D215" s="1">
        <v>778.92</v>
      </c>
      <c r="E215" s="1">
        <v>782.79</v>
      </c>
      <c r="F215" s="1">
        <v>744272</v>
      </c>
      <c r="G215" s="6">
        <f t="shared" si="14"/>
        <v>805.51999999999987</v>
      </c>
      <c r="H215" s="6">
        <f t="shared" si="15"/>
        <v>811.22</v>
      </c>
      <c r="I215" s="6">
        <f t="shared" si="16"/>
        <v>770.41</v>
      </c>
      <c r="J215" s="6">
        <f t="shared" si="17"/>
        <v>30.335702033815188</v>
      </c>
      <c r="K215" s="6">
        <f t="shared" si="18"/>
        <v>17.92290569920786</v>
      </c>
      <c r="L215" s="4" t="str">
        <f>IF(AND(E215&gt;G215, J215&gt;'P&amp;L'!$C$23, COUNTIF($L$4:L214, "Long")=COUNTIF($N$4:N214, "Close")), "Long", "")</f>
        <v/>
      </c>
      <c r="M215" s="4" t="str">
        <f>IF(L215="Long", E215*'P&amp;L'!$C$21,"")</f>
        <v/>
      </c>
      <c r="N215" s="4" t="str">
        <f>IF(AND(J215&gt;'P&amp;L'!$C$24, COUNTIF($L$4:L214, "Long") &gt; COUNTIF($N$4:N214, "Close")), "Close", "")</f>
        <v/>
      </c>
      <c r="O215" s="5" t="str">
        <f>IF(AND(E215&lt;G215, J215&lt;'P&amp;L'!$C$24, J214&gt;'P&amp;L'!$C$24, COUNTIF($O$4:O214, "Short")=COUNTIF($Q$4:Q214, "Close")), "Short", "")</f>
        <v/>
      </c>
      <c r="P215" s="5" t="str">
        <f>IF(O215="Short", E215*'P&amp;L'!$C$21, "")</f>
        <v/>
      </c>
      <c r="Q215" s="5" t="str">
        <f>IF(AND(J215&gt;'P&amp;L'!$C$23, COUNTIF($O$4:O214, "Short") &gt; COUNTIF($Q$4:Q214, "Close")), "Close", "")</f>
        <v/>
      </c>
      <c r="R215" s="6">
        <v>102931</v>
      </c>
    </row>
    <row r="216" spans="1:18" x14ac:dyDescent="0.35">
      <c r="A216" s="12">
        <v>42732</v>
      </c>
      <c r="B216" s="1">
        <v>793.7</v>
      </c>
      <c r="C216" s="1">
        <v>794.23</v>
      </c>
      <c r="D216" s="1">
        <v>783.2</v>
      </c>
      <c r="E216" s="1">
        <v>785.05</v>
      </c>
      <c r="F216" s="1">
        <v>1153824</v>
      </c>
      <c r="G216" s="6">
        <f t="shared" si="14"/>
        <v>804.6976190476189</v>
      </c>
      <c r="H216" s="6">
        <f t="shared" si="15"/>
        <v>811.22</v>
      </c>
      <c r="I216" s="6">
        <f t="shared" si="16"/>
        <v>770.41</v>
      </c>
      <c r="J216" s="6">
        <f t="shared" si="17"/>
        <v>35.873560401862207</v>
      </c>
      <c r="K216" s="6">
        <f t="shared" si="18"/>
        <v>23.001184981531836</v>
      </c>
      <c r="L216" s="4" t="str">
        <f>IF(AND(E216&gt;G216, J216&gt;'P&amp;L'!$C$23, COUNTIF($L$4:L215, "Long")=COUNTIF($N$4:N215, "Close")), "Long", "")</f>
        <v/>
      </c>
      <c r="M216" s="4" t="str">
        <f>IF(L216="Long", E216*'P&amp;L'!$C$21,"")</f>
        <v/>
      </c>
      <c r="N216" s="4" t="str">
        <f>IF(AND(J216&gt;'P&amp;L'!$C$24, COUNTIF($L$4:L215, "Long") &gt; COUNTIF($N$4:N215, "Close")), "Close", "")</f>
        <v/>
      </c>
      <c r="O216" s="5" t="str">
        <f>IF(AND(E216&lt;G216, J216&lt;'P&amp;L'!$C$24, J215&gt;'P&amp;L'!$C$24, COUNTIF($O$4:O215, "Short")=COUNTIF($Q$4:Q215, "Close")), "Short", "")</f>
        <v/>
      </c>
      <c r="P216" s="5" t="str">
        <f>IF(O216="Short", E216*'P&amp;L'!$C$21, "")</f>
        <v/>
      </c>
      <c r="Q216" s="5" t="str">
        <f>IF(AND(J216&gt;'P&amp;L'!$C$23, COUNTIF($O$4:O215, "Short") &gt; COUNTIF($Q$4:Q215, "Close")), "Close", "")</f>
        <v/>
      </c>
      <c r="R216" s="6">
        <v>102931</v>
      </c>
    </row>
    <row r="217" spans="1:18" x14ac:dyDescent="0.35">
      <c r="A217" s="12">
        <v>42731</v>
      </c>
      <c r="B217" s="1">
        <v>790.68</v>
      </c>
      <c r="C217" s="1">
        <v>797.86</v>
      </c>
      <c r="D217" s="1">
        <v>787.66</v>
      </c>
      <c r="E217" s="1">
        <v>791.55</v>
      </c>
      <c r="F217" s="1">
        <v>789321</v>
      </c>
      <c r="G217" s="6">
        <f t="shared" ref="G217:G254" si="19">AVERAGE(E197:E217)</f>
        <v>803.18523809523788</v>
      </c>
      <c r="H217" s="6">
        <f t="shared" si="15"/>
        <v>811.22</v>
      </c>
      <c r="I217" s="6">
        <f t="shared" si="16"/>
        <v>770.41</v>
      </c>
      <c r="J217" s="6">
        <f t="shared" si="17"/>
        <v>51.801029159519615</v>
      </c>
      <c r="K217" s="6">
        <f t="shared" si="18"/>
        <v>39.33676386506567</v>
      </c>
      <c r="L217" s="4" t="str">
        <f>IF(AND(E217&gt;G217, J217&gt;'P&amp;L'!$C$23, COUNTIF($L$4:L216, "Long")=COUNTIF($N$4:N216, "Close")), "Long", "")</f>
        <v/>
      </c>
      <c r="M217" s="4" t="str">
        <f>IF(L217="Long", E217*'P&amp;L'!$C$21,"")</f>
        <v/>
      </c>
      <c r="N217" s="4" t="str">
        <f>IF(AND(J217&gt;'P&amp;L'!$C$24, COUNTIF($L$4:L216, "Long") &gt; COUNTIF($N$4:N216, "Close")), "Close", "")</f>
        <v>Close</v>
      </c>
      <c r="O217" s="5" t="str">
        <f>IF(AND(E217&lt;G217, J217&lt;'P&amp;L'!$C$24, J216&gt;'P&amp;L'!$C$24, COUNTIF($O$4:O216, "Short")=COUNTIF($Q$4:Q216, "Close")), "Short", "")</f>
        <v/>
      </c>
      <c r="P217" s="5" t="str">
        <f>IF(O217="Short", E217*'P&amp;L'!$C$21, "")</f>
        <v/>
      </c>
      <c r="Q217" s="5" t="str">
        <f>IF(AND(J217&gt;'P&amp;L'!$C$23, COUNTIF($O$4:O216, "Short") &gt; COUNTIF($Q$4:Q216, "Close")), "Close", "")</f>
        <v/>
      </c>
      <c r="R217" s="6">
        <v>142508.5</v>
      </c>
    </row>
    <row r="218" spans="1:18" x14ac:dyDescent="0.35">
      <c r="A218" s="12">
        <v>42727</v>
      </c>
      <c r="B218" s="1">
        <v>790.9</v>
      </c>
      <c r="C218" s="1">
        <v>792.74</v>
      </c>
      <c r="D218" s="1">
        <v>787.28</v>
      </c>
      <c r="E218" s="1">
        <v>789.91</v>
      </c>
      <c r="F218" s="1">
        <v>623944</v>
      </c>
      <c r="G218" s="6">
        <f t="shared" si="19"/>
        <v>801.17380952380927</v>
      </c>
      <c r="H218" s="6">
        <f t="shared" si="15"/>
        <v>811.22</v>
      </c>
      <c r="I218" s="6">
        <f t="shared" si="16"/>
        <v>770.41</v>
      </c>
      <c r="J218" s="6">
        <f t="shared" si="17"/>
        <v>47.782406272972239</v>
      </c>
      <c r="K218" s="6">
        <f t="shared" si="18"/>
        <v>45.152331944784692</v>
      </c>
      <c r="L218" s="4" t="str">
        <f>IF(AND(E218&gt;G218, J218&gt;'P&amp;L'!$C$23, COUNTIF($L$4:L217, "Long")=COUNTIF($N$4:N217, "Close")), "Long", "")</f>
        <v/>
      </c>
      <c r="M218" s="4" t="str">
        <f>IF(L218="Long", E218*'P&amp;L'!$C$21,"")</f>
        <v/>
      </c>
      <c r="N218" s="4" t="str">
        <f>IF(AND(J218&gt;'P&amp;L'!$C$24, COUNTIF($L$4:L217, "Long") &gt; COUNTIF($N$4:N217, "Close")), "Close", "")</f>
        <v/>
      </c>
      <c r="O218" s="5" t="str">
        <f>IF(AND(E218&lt;G218, J218&lt;'P&amp;L'!$C$24, J217&gt;'P&amp;L'!$C$24, COUNTIF($O$4:O217, "Short")=COUNTIF($Q$4:Q217, "Close")), "Short", "")</f>
        <v/>
      </c>
      <c r="P218" s="5" t="str">
        <f>IF(O218="Short", E218*'P&amp;L'!$C$21, "")</f>
        <v/>
      </c>
      <c r="Q218" s="5" t="str">
        <f>IF(AND(J218&gt;'P&amp;L'!$C$23, COUNTIF($O$4:O217, "Short") &gt; COUNTIF($Q$4:Q217, "Close")), "Close", "")</f>
        <v/>
      </c>
      <c r="R218" s="6">
        <v>142508.5</v>
      </c>
    </row>
    <row r="219" spans="1:18" x14ac:dyDescent="0.35">
      <c r="A219" s="12">
        <v>42726</v>
      </c>
      <c r="B219" s="1">
        <v>792.36</v>
      </c>
      <c r="C219" s="1">
        <v>793.32</v>
      </c>
      <c r="D219" s="1">
        <v>788.58</v>
      </c>
      <c r="E219" s="1">
        <v>791.26</v>
      </c>
      <c r="F219" s="1">
        <v>972169</v>
      </c>
      <c r="G219" s="6">
        <f t="shared" si="19"/>
        <v>799.05904761904731</v>
      </c>
      <c r="H219" s="6">
        <f t="shared" si="15"/>
        <v>811.22</v>
      </c>
      <c r="I219" s="6">
        <f t="shared" si="16"/>
        <v>770.41</v>
      </c>
      <c r="J219" s="6">
        <f t="shared" si="17"/>
        <v>51.090419014947294</v>
      </c>
      <c r="K219" s="6">
        <f t="shared" si="18"/>
        <v>50.22461814914638</v>
      </c>
      <c r="L219" s="4" t="str">
        <f>IF(AND(E219&gt;G219, J219&gt;'P&amp;L'!$C$23, COUNTIF($L$4:L218, "Long")=COUNTIF($N$4:N218, "Close")), "Long", "")</f>
        <v/>
      </c>
      <c r="M219" s="4" t="str">
        <f>IF(L219="Long", E219*'P&amp;L'!$C$21,"")</f>
        <v/>
      </c>
      <c r="N219" s="4" t="str">
        <f>IF(AND(J219&gt;'P&amp;L'!$C$24, COUNTIF($L$4:L218, "Long") &gt; COUNTIF($N$4:N218, "Close")), "Close", "")</f>
        <v/>
      </c>
      <c r="O219" s="5" t="str">
        <f>IF(AND(E219&lt;G219, J219&lt;'P&amp;L'!$C$24, J218&gt;'P&amp;L'!$C$24, COUNTIF($O$4:O218, "Short")=COUNTIF($Q$4:Q218, "Close")), "Short", "")</f>
        <v/>
      </c>
      <c r="P219" s="5" t="str">
        <f>IF(O219="Short", E219*'P&amp;L'!$C$21, "")</f>
        <v/>
      </c>
      <c r="Q219" s="5" t="str">
        <f>IF(AND(J219&gt;'P&amp;L'!$C$23, COUNTIF($O$4:O218, "Short") &gt; COUNTIF($Q$4:Q218, "Close")), "Close", "")</f>
        <v/>
      </c>
      <c r="R219" s="6">
        <v>142508.5</v>
      </c>
    </row>
    <row r="220" spans="1:18" x14ac:dyDescent="0.35">
      <c r="A220" s="12">
        <v>42725</v>
      </c>
      <c r="B220" s="1">
        <v>795.84</v>
      </c>
      <c r="C220" s="1">
        <v>796.68</v>
      </c>
      <c r="D220" s="1">
        <v>787.1</v>
      </c>
      <c r="E220" s="1">
        <v>794.56</v>
      </c>
      <c r="F220" s="1">
        <v>1211346</v>
      </c>
      <c r="G220" s="6">
        <f t="shared" si="19"/>
        <v>797.66333333333318</v>
      </c>
      <c r="H220" s="6">
        <f t="shared" si="15"/>
        <v>809.97</v>
      </c>
      <c r="I220" s="6">
        <f t="shared" si="16"/>
        <v>770.41</v>
      </c>
      <c r="J220" s="6">
        <f t="shared" si="17"/>
        <v>61.046511627906831</v>
      </c>
      <c r="K220" s="6">
        <f t="shared" si="18"/>
        <v>53.306445638608785</v>
      </c>
      <c r="L220" s="4" t="str">
        <f>IF(AND(E220&gt;G220, J220&gt;'P&amp;L'!$C$23, COUNTIF($L$4:L219, "Long")=COUNTIF($N$4:N219, "Close")), "Long", "")</f>
        <v/>
      </c>
      <c r="M220" s="4" t="str">
        <f>IF(L220="Long", E220*'P&amp;L'!$C$21,"")</f>
        <v/>
      </c>
      <c r="N220" s="4" t="str">
        <f>IF(AND(J220&gt;'P&amp;L'!$C$24, COUNTIF($L$4:L219, "Long") &gt; COUNTIF($N$4:N219, "Close")), "Close", "")</f>
        <v/>
      </c>
      <c r="O220" s="5" t="str">
        <f>IF(AND(E220&lt;G220, J220&lt;'P&amp;L'!$C$24, J219&gt;'P&amp;L'!$C$24, COUNTIF($O$4:O219, "Short")=COUNTIF($Q$4:Q219, "Close")), "Short", "")</f>
        <v/>
      </c>
      <c r="P220" s="5" t="str">
        <f>IF(O220="Short", E220*'P&amp;L'!$C$21, "")</f>
        <v/>
      </c>
      <c r="Q220" s="5" t="str">
        <f>IF(AND(J220&gt;'P&amp;L'!$C$23, COUNTIF($O$4:O219, "Short") &gt; COUNTIF($Q$4:Q219, "Close")), "Close", "")</f>
        <v/>
      </c>
      <c r="R220" s="6">
        <v>142508.5</v>
      </c>
    </row>
    <row r="221" spans="1:18" x14ac:dyDescent="0.35">
      <c r="A221" s="12">
        <v>42724</v>
      </c>
      <c r="B221" s="1">
        <v>796.76</v>
      </c>
      <c r="C221" s="1">
        <v>798.65</v>
      </c>
      <c r="D221" s="1">
        <v>793.27</v>
      </c>
      <c r="E221" s="1">
        <v>796.42</v>
      </c>
      <c r="F221" s="1">
        <v>951014</v>
      </c>
      <c r="G221" s="6">
        <f t="shared" si="19"/>
        <v>796.57333333333304</v>
      </c>
      <c r="H221" s="6">
        <f t="shared" si="15"/>
        <v>809.97</v>
      </c>
      <c r="I221" s="6">
        <f t="shared" si="16"/>
        <v>770.41</v>
      </c>
      <c r="J221" s="6">
        <f t="shared" si="17"/>
        <v>65.74823053589472</v>
      </c>
      <c r="K221" s="6">
        <f t="shared" si="18"/>
        <v>59.295053726249613</v>
      </c>
      <c r="L221" s="4" t="str">
        <f>IF(AND(E221&gt;G221, J221&gt;'P&amp;L'!$C$23, COUNTIF($L$4:L220, "Long")=COUNTIF($N$4:N220, "Close")), "Long", "")</f>
        <v/>
      </c>
      <c r="M221" s="4" t="str">
        <f>IF(L221="Long", E221*'P&amp;L'!$C$21,"")</f>
        <v/>
      </c>
      <c r="N221" s="4" t="str">
        <f>IF(AND(J221&gt;'P&amp;L'!$C$24, COUNTIF($L$4:L220, "Long") &gt; COUNTIF($N$4:N220, "Close")), "Close", "")</f>
        <v/>
      </c>
      <c r="O221" s="5" t="str">
        <f>IF(AND(E221&lt;G221, J221&lt;'P&amp;L'!$C$24, J220&gt;'P&amp;L'!$C$24, COUNTIF($O$4:O220, "Short")=COUNTIF($Q$4:Q220, "Close")), "Short", "")</f>
        <v/>
      </c>
      <c r="P221" s="5" t="str">
        <f>IF(O221="Short", E221*'P&amp;L'!$C$21, "")</f>
        <v/>
      </c>
      <c r="Q221" s="5" t="str">
        <f>IF(AND(J221&gt;'P&amp;L'!$C$23, COUNTIF($O$4:O220, "Short") &gt; COUNTIF($Q$4:Q220, "Close")), "Close", "")</f>
        <v/>
      </c>
      <c r="R221" s="6">
        <v>142508.5</v>
      </c>
    </row>
    <row r="222" spans="1:18" x14ac:dyDescent="0.35">
      <c r="A222" s="12">
        <v>42723</v>
      </c>
      <c r="B222" s="1">
        <v>790.22</v>
      </c>
      <c r="C222" s="1">
        <v>797.66</v>
      </c>
      <c r="D222" s="1">
        <v>786.27</v>
      </c>
      <c r="E222" s="1">
        <v>794.2</v>
      </c>
      <c r="F222" s="1">
        <v>1232087</v>
      </c>
      <c r="G222" s="6">
        <f t="shared" si="19"/>
        <v>796.05809523809489</v>
      </c>
      <c r="H222" s="6">
        <f t="shared" si="15"/>
        <v>809.97</v>
      </c>
      <c r="I222" s="6">
        <f t="shared" si="16"/>
        <v>770.41</v>
      </c>
      <c r="J222" s="6">
        <f t="shared" si="17"/>
        <v>60.13650151668363</v>
      </c>
      <c r="K222" s="6">
        <f t="shared" si="18"/>
        <v>62.310414560161725</v>
      </c>
      <c r="L222" s="4" t="str">
        <f>IF(AND(E222&gt;G222, J222&gt;'P&amp;L'!$C$23, COUNTIF($L$4:L221, "Long")=COUNTIF($N$4:N221, "Close")), "Long", "")</f>
        <v/>
      </c>
      <c r="M222" s="4" t="str">
        <f>IF(L222="Long", E222*'P&amp;L'!$C$21,"")</f>
        <v/>
      </c>
      <c r="N222" s="4" t="str">
        <f>IF(AND(J222&gt;'P&amp;L'!$C$24, COUNTIF($L$4:L221, "Long") &gt; COUNTIF($N$4:N221, "Close")), "Close", "")</f>
        <v/>
      </c>
      <c r="O222" s="5" t="str">
        <f>IF(AND(E222&lt;G222, J222&lt;'P&amp;L'!$C$24, J221&gt;'P&amp;L'!$C$24, COUNTIF($O$4:O221, "Short")=COUNTIF($Q$4:Q221, "Close")), "Short", "")</f>
        <v/>
      </c>
      <c r="P222" s="5" t="str">
        <f>IF(O222="Short", E222*'P&amp;L'!$C$21, "")</f>
        <v/>
      </c>
      <c r="Q222" s="5" t="str">
        <f>IF(AND(J222&gt;'P&amp;L'!$C$23, COUNTIF($O$4:O221, "Short") &gt; COUNTIF($Q$4:Q221, "Close")), "Close", "")</f>
        <v/>
      </c>
      <c r="R222" s="6">
        <v>142508.5</v>
      </c>
    </row>
    <row r="223" spans="1:18" x14ac:dyDescent="0.35">
      <c r="A223" s="12">
        <v>42720</v>
      </c>
      <c r="B223" s="1">
        <v>800.4</v>
      </c>
      <c r="C223" s="1">
        <v>800.86</v>
      </c>
      <c r="D223" s="1">
        <v>790.29</v>
      </c>
      <c r="E223" s="1">
        <v>790.8</v>
      </c>
      <c r="F223" s="1">
        <v>2443796</v>
      </c>
      <c r="G223" s="6">
        <f t="shared" si="19"/>
        <v>795.51619047619033</v>
      </c>
      <c r="H223" s="6">
        <f t="shared" si="15"/>
        <v>809.97</v>
      </c>
      <c r="I223" s="6">
        <f t="shared" si="16"/>
        <v>770.41</v>
      </c>
      <c r="J223" s="6">
        <f t="shared" si="17"/>
        <v>51.541961577350747</v>
      </c>
      <c r="K223" s="6">
        <f t="shared" si="18"/>
        <v>59.142231209976366</v>
      </c>
      <c r="L223" s="4" t="str">
        <f>IF(AND(E223&gt;G223, J223&gt;'P&amp;L'!$C$23, COUNTIF($L$4:L222, "Long")=COUNTIF($N$4:N222, "Close")), "Long", "")</f>
        <v/>
      </c>
      <c r="M223" s="4" t="str">
        <f>IF(L223="Long", E223*'P&amp;L'!$C$21,"")</f>
        <v/>
      </c>
      <c r="N223" s="4" t="str">
        <f>IF(AND(J223&gt;'P&amp;L'!$C$24, COUNTIF($L$4:L222, "Long") &gt; COUNTIF($N$4:N222, "Close")), "Close", "")</f>
        <v/>
      </c>
      <c r="O223" s="5" t="str">
        <f>IF(AND(E223&lt;G223, J223&lt;'P&amp;L'!$C$24, J222&gt;'P&amp;L'!$C$24, COUNTIF($O$4:O222, "Short")=COUNTIF($Q$4:Q222, "Close")), "Short", "")</f>
        <v/>
      </c>
      <c r="P223" s="5" t="str">
        <f>IF(O223="Short", E223*'P&amp;L'!$C$21, "")</f>
        <v/>
      </c>
      <c r="Q223" s="5" t="str">
        <f>IF(AND(J223&gt;'P&amp;L'!$C$23, COUNTIF($O$4:O222, "Short") &gt; COUNTIF($Q$4:Q222, "Close")), "Close", "")</f>
        <v/>
      </c>
      <c r="R223" s="6">
        <v>142508.5</v>
      </c>
    </row>
    <row r="224" spans="1:18" x14ac:dyDescent="0.35">
      <c r="A224" s="12">
        <v>42719</v>
      </c>
      <c r="B224" s="1">
        <v>797.34</v>
      </c>
      <c r="C224" s="1">
        <v>803</v>
      </c>
      <c r="D224" s="1">
        <v>792.92</v>
      </c>
      <c r="E224" s="1">
        <v>797.85</v>
      </c>
      <c r="F224" s="1">
        <v>1626499</v>
      </c>
      <c r="G224" s="6">
        <f t="shared" si="19"/>
        <v>795.12476190476184</v>
      </c>
      <c r="H224" s="6">
        <f t="shared" si="15"/>
        <v>807.9</v>
      </c>
      <c r="I224" s="6">
        <f t="shared" si="16"/>
        <v>770.41</v>
      </c>
      <c r="J224" s="6">
        <f t="shared" si="17"/>
        <v>73.192851427047344</v>
      </c>
      <c r="K224" s="6">
        <f t="shared" si="18"/>
        <v>61.623771507027243</v>
      </c>
      <c r="L224" s="4" t="str">
        <f>IF(AND(E224&gt;G224, J224&gt;'P&amp;L'!$C$23, COUNTIF($L$4:L223, "Long")=COUNTIF($N$4:N223, "Close")), "Long", "")</f>
        <v>Long</v>
      </c>
      <c r="M224" s="4">
        <f>IF(L224="Long", E224*'P&amp;L'!$C$21,"")</f>
        <v>39892.5</v>
      </c>
      <c r="N224" s="4" t="str">
        <f>IF(AND(J224&gt;'P&amp;L'!$C$24, COUNTIF($L$4:L223, "Long") &gt; COUNTIF($N$4:N223, "Close")), "Close", "")</f>
        <v/>
      </c>
      <c r="O224" s="5" t="str">
        <f>IF(AND(E224&lt;G224, J224&lt;'P&amp;L'!$C$24, J223&gt;'P&amp;L'!$C$24, COUNTIF($O$4:O223, "Short")=COUNTIF($Q$4:Q223, "Close")), "Short", "")</f>
        <v/>
      </c>
      <c r="P224" s="5" t="str">
        <f>IF(O224="Short", E224*'P&amp;L'!$C$21, "")</f>
        <v/>
      </c>
      <c r="Q224" s="5" t="str">
        <f>IF(AND(J224&gt;'P&amp;L'!$C$23, COUNTIF($O$4:O223, "Short") &gt; COUNTIF($Q$4:Q223, "Close")), "Close", "")</f>
        <v/>
      </c>
      <c r="R224" s="6">
        <v>102616</v>
      </c>
    </row>
    <row r="225" spans="1:18" x14ac:dyDescent="0.35">
      <c r="A225" s="12">
        <v>42718</v>
      </c>
      <c r="B225" s="1">
        <v>797.4</v>
      </c>
      <c r="C225" s="1">
        <v>804</v>
      </c>
      <c r="D225" s="1">
        <v>794.01</v>
      </c>
      <c r="E225" s="1">
        <v>797.07</v>
      </c>
      <c r="F225" s="1">
        <v>1704150</v>
      </c>
      <c r="G225" s="6">
        <f t="shared" si="19"/>
        <v>794.76571428571424</v>
      </c>
      <c r="H225" s="6">
        <f t="shared" si="15"/>
        <v>804</v>
      </c>
      <c r="I225" s="6">
        <f t="shared" si="16"/>
        <v>770.41</v>
      </c>
      <c r="J225" s="6">
        <f t="shared" si="17"/>
        <v>79.368859779696507</v>
      </c>
      <c r="K225" s="6">
        <f t="shared" si="18"/>
        <v>68.0345575946982</v>
      </c>
      <c r="L225" s="4" t="str">
        <f>IF(AND(E225&gt;G225, J225&gt;'P&amp;L'!$C$23, COUNTIF($L$4:L224, "Long")=COUNTIF($N$4:N224, "Close")), "Long", "")</f>
        <v/>
      </c>
      <c r="M225" s="4" t="str">
        <f>IF(L225="Long", E225*'P&amp;L'!$C$21,"")</f>
        <v/>
      </c>
      <c r="N225" s="4" t="str">
        <f>IF(AND(J225&gt;'P&amp;L'!$C$24, COUNTIF($L$4:L224, "Long") &gt; COUNTIF($N$4:N224, "Close")), "Close", "")</f>
        <v>Close</v>
      </c>
      <c r="O225" s="5" t="str">
        <f>IF(AND(E225&lt;G225, J225&lt;'P&amp;L'!$C$24, J224&gt;'P&amp;L'!$C$24, COUNTIF($O$4:O224, "Short")=COUNTIF($Q$4:Q224, "Close")), "Short", "")</f>
        <v/>
      </c>
      <c r="P225" s="5" t="str">
        <f>IF(O225="Short", E225*'P&amp;L'!$C$21, "")</f>
        <v/>
      </c>
      <c r="Q225" s="5" t="str">
        <f>IF(AND(J225&gt;'P&amp;L'!$C$23, COUNTIF($O$4:O224, "Short") &gt; COUNTIF($Q$4:Q224, "Close")), "Close", "")</f>
        <v/>
      </c>
      <c r="R225" s="6">
        <v>142469.5</v>
      </c>
    </row>
    <row r="226" spans="1:18" x14ac:dyDescent="0.35">
      <c r="A226" s="12">
        <v>42717</v>
      </c>
      <c r="B226" s="1">
        <v>793.9</v>
      </c>
      <c r="C226" s="1">
        <v>804.38</v>
      </c>
      <c r="D226" s="1">
        <v>793.34</v>
      </c>
      <c r="E226" s="1">
        <v>796.1</v>
      </c>
      <c r="F226" s="1">
        <v>2145209</v>
      </c>
      <c r="G226" s="6">
        <f t="shared" si="19"/>
        <v>794.20476190476188</v>
      </c>
      <c r="H226" s="6">
        <f t="shared" si="15"/>
        <v>804.38</v>
      </c>
      <c r="I226" s="6">
        <f t="shared" si="16"/>
        <v>770.41</v>
      </c>
      <c r="J226" s="6">
        <f t="shared" si="17"/>
        <v>75.625551957609758</v>
      </c>
      <c r="K226" s="6">
        <f t="shared" si="18"/>
        <v>76.062421054784537</v>
      </c>
      <c r="L226" s="4" t="str">
        <f>IF(AND(E226&gt;G226, J226&gt;'P&amp;L'!$C$23, COUNTIF($L$4:L225, "Long")=COUNTIF($N$4:N225, "Close")), "Long", "")</f>
        <v>Long</v>
      </c>
      <c r="M226" s="4">
        <f>IF(L226="Long", E226*'P&amp;L'!$C$21,"")</f>
        <v>39805</v>
      </c>
      <c r="N226" s="4" t="str">
        <f>IF(AND(J226&gt;'P&amp;L'!$C$24, COUNTIF($L$4:L225, "Long") &gt; COUNTIF($N$4:N225, "Close")), "Close", "")</f>
        <v/>
      </c>
      <c r="O226" s="5" t="str">
        <f>IF(AND(E226&lt;G226, J226&lt;'P&amp;L'!$C$24, J225&gt;'P&amp;L'!$C$24, COUNTIF($O$4:O225, "Short")=COUNTIF($Q$4:Q225, "Close")), "Short", "")</f>
        <v/>
      </c>
      <c r="P226" s="5" t="str">
        <f>IF(O226="Short", E226*'P&amp;L'!$C$21, "")</f>
        <v/>
      </c>
      <c r="Q226" s="5" t="str">
        <f>IF(AND(J226&gt;'P&amp;L'!$C$23, COUNTIF($O$4:O225, "Short") &gt; COUNTIF($Q$4:Q225, "Close")), "Close", "")</f>
        <v/>
      </c>
      <c r="R226" s="6">
        <v>102664.5</v>
      </c>
    </row>
    <row r="227" spans="1:18" x14ac:dyDescent="0.35">
      <c r="A227" s="12">
        <v>42716</v>
      </c>
      <c r="B227" s="1">
        <v>785.04</v>
      </c>
      <c r="C227" s="1">
        <v>791.25</v>
      </c>
      <c r="D227" s="1">
        <v>784.36</v>
      </c>
      <c r="E227" s="1">
        <v>789.27</v>
      </c>
      <c r="F227" s="1">
        <v>2104117</v>
      </c>
      <c r="G227" s="6">
        <f t="shared" si="19"/>
        <v>793.39095238095229</v>
      </c>
      <c r="H227" s="6">
        <f t="shared" si="15"/>
        <v>804.38</v>
      </c>
      <c r="I227" s="6">
        <f t="shared" si="16"/>
        <v>770.41</v>
      </c>
      <c r="J227" s="6">
        <f t="shared" si="17"/>
        <v>55.519576096555781</v>
      </c>
      <c r="K227" s="6">
        <f t="shared" si="18"/>
        <v>70.17132927795403</v>
      </c>
      <c r="L227" s="4" t="str">
        <f>IF(AND(E227&gt;G227, J227&gt;'P&amp;L'!$C$23, COUNTIF($L$4:L226, "Long")=COUNTIF($N$4:N226, "Close")), "Long", "")</f>
        <v/>
      </c>
      <c r="M227" s="4" t="str">
        <f>IF(L227="Long", E227*'P&amp;L'!$C$21,"")</f>
        <v/>
      </c>
      <c r="N227" s="4" t="str">
        <f>IF(AND(J227&gt;'P&amp;L'!$C$24, COUNTIF($L$4:L226, "Long") &gt; COUNTIF($N$4:N226, "Close")), "Close", "")</f>
        <v>Close</v>
      </c>
      <c r="O227" s="5" t="str">
        <f>IF(AND(E227&lt;G227, J227&lt;'P&amp;L'!$C$24, J226&gt;'P&amp;L'!$C$24, COUNTIF($O$4:O226, "Short")=COUNTIF($Q$4:Q226, "Close")), "Short", "")</f>
        <v/>
      </c>
      <c r="P227" s="5" t="str">
        <f>IF(O227="Short", E227*'P&amp;L'!$C$21, "")</f>
        <v/>
      </c>
      <c r="Q227" s="5" t="str">
        <f>IF(AND(J227&gt;'P&amp;L'!$C$23, COUNTIF($O$4:O226, "Short") &gt; COUNTIF($Q$4:Q226, "Close")), "Close", "")</f>
        <v/>
      </c>
      <c r="R227" s="6">
        <v>142128</v>
      </c>
    </row>
    <row r="228" spans="1:18" x14ac:dyDescent="0.35">
      <c r="A228" s="12">
        <v>42713</v>
      </c>
      <c r="B228" s="1">
        <v>780</v>
      </c>
      <c r="C228" s="1">
        <v>789.43</v>
      </c>
      <c r="D228" s="1">
        <v>779.02</v>
      </c>
      <c r="E228" s="1">
        <v>789.29</v>
      </c>
      <c r="F228" s="1">
        <v>1821914</v>
      </c>
      <c r="G228" s="6">
        <f t="shared" si="19"/>
        <v>792.50428571428574</v>
      </c>
      <c r="H228" s="6">
        <f t="shared" si="15"/>
        <v>804.38</v>
      </c>
      <c r="I228" s="6">
        <f t="shared" si="16"/>
        <v>770.41</v>
      </c>
      <c r="J228" s="6">
        <f t="shared" si="17"/>
        <v>55.578451574918986</v>
      </c>
      <c r="K228" s="6">
        <f t="shared" si="18"/>
        <v>62.241193209694835</v>
      </c>
      <c r="L228" s="4" t="str">
        <f>IF(AND(E228&gt;G228, J228&gt;'P&amp;L'!$C$23, COUNTIF($L$4:L227, "Long")=COUNTIF($N$4:N227, "Close")), "Long", "")</f>
        <v/>
      </c>
      <c r="M228" s="4" t="str">
        <f>IF(L228="Long", E228*'P&amp;L'!$C$21,"")</f>
        <v/>
      </c>
      <c r="N228" s="4" t="str">
        <f>IF(AND(J228&gt;'P&amp;L'!$C$24, COUNTIF($L$4:L227, "Long") &gt; COUNTIF($N$4:N227, "Close")), "Close", "")</f>
        <v/>
      </c>
      <c r="O228" s="5" t="str">
        <f>IF(AND(E228&lt;G228, J228&lt;'P&amp;L'!$C$24, J227&gt;'P&amp;L'!$C$24, COUNTIF($O$4:O227, "Short")=COUNTIF($Q$4:Q227, "Close")), "Short", "")</f>
        <v/>
      </c>
      <c r="P228" s="5" t="str">
        <f>IF(O228="Short", E228*'P&amp;L'!$C$21, "")</f>
        <v/>
      </c>
      <c r="Q228" s="5" t="str">
        <f>IF(AND(J228&gt;'P&amp;L'!$C$23, COUNTIF($O$4:O227, "Short") &gt; COUNTIF($Q$4:Q227, "Close")), "Close", "")</f>
        <v/>
      </c>
      <c r="R228" s="6">
        <v>142128</v>
      </c>
    </row>
    <row r="229" spans="1:18" x14ac:dyDescent="0.35">
      <c r="A229" s="12">
        <v>42712</v>
      </c>
      <c r="B229" s="1">
        <v>772.48</v>
      </c>
      <c r="C229" s="1">
        <v>778.18</v>
      </c>
      <c r="D229" s="1">
        <v>767.23</v>
      </c>
      <c r="E229" s="1">
        <v>776.42</v>
      </c>
      <c r="F229" s="1">
        <v>1488059</v>
      </c>
      <c r="G229" s="6">
        <f t="shared" si="19"/>
        <v>791.15333333333319</v>
      </c>
      <c r="H229" s="6">
        <f t="shared" si="15"/>
        <v>804.38</v>
      </c>
      <c r="I229" s="6">
        <f t="shared" si="16"/>
        <v>767.23</v>
      </c>
      <c r="J229" s="6">
        <f t="shared" si="17"/>
        <v>24.737550471063113</v>
      </c>
      <c r="K229" s="6">
        <f t="shared" si="18"/>
        <v>45.278526047512628</v>
      </c>
      <c r="L229" s="4" t="str">
        <f>IF(AND(E229&gt;G229, J229&gt;'P&amp;L'!$C$23, COUNTIF($L$4:L228, "Long")=COUNTIF($N$4:N228, "Close")), "Long", "")</f>
        <v/>
      </c>
      <c r="M229" s="4" t="str">
        <f>IF(L229="Long", E229*'P&amp;L'!$C$21,"")</f>
        <v/>
      </c>
      <c r="N229" s="4" t="str">
        <f>IF(AND(J229&gt;'P&amp;L'!$C$24, COUNTIF($L$4:L228, "Long") &gt; COUNTIF($N$4:N228, "Close")), "Close", "")</f>
        <v/>
      </c>
      <c r="O229" s="5" t="str">
        <f>IF(AND(E229&lt;G229, J229&lt;'P&amp;L'!$C$24, J228&gt;'P&amp;L'!$C$24, COUNTIF($O$4:O228, "Short")=COUNTIF($Q$4:Q228, "Close")), "Short", "")</f>
        <v>Short</v>
      </c>
      <c r="P229" s="5">
        <f>IF(O229="Short", E229*'P&amp;L'!$C$21, "")</f>
        <v>38821</v>
      </c>
      <c r="Q229" s="5" t="str">
        <f>IF(AND(J229&gt;'P&amp;L'!$C$23, COUNTIF($O$4:O228, "Short") &gt; COUNTIF($Q$4:Q228, "Close")), "Close", "")</f>
        <v/>
      </c>
      <c r="R229" s="6">
        <v>180949</v>
      </c>
    </row>
    <row r="230" spans="1:18" x14ac:dyDescent="0.35">
      <c r="A230" s="12">
        <v>42711</v>
      </c>
      <c r="B230" s="1">
        <v>761</v>
      </c>
      <c r="C230" s="1">
        <v>771.36</v>
      </c>
      <c r="D230" s="1">
        <v>755.8</v>
      </c>
      <c r="E230" s="1">
        <v>771.19</v>
      </c>
      <c r="F230" s="1">
        <v>1760966</v>
      </c>
      <c r="G230" s="6">
        <f t="shared" si="19"/>
        <v>789.46476190476199</v>
      </c>
      <c r="H230" s="6">
        <f t="shared" si="15"/>
        <v>804.38</v>
      </c>
      <c r="I230" s="6">
        <f t="shared" si="16"/>
        <v>755.8</v>
      </c>
      <c r="J230" s="6">
        <f t="shared" si="17"/>
        <v>31.679703581721053</v>
      </c>
      <c r="K230" s="6">
        <f t="shared" si="18"/>
        <v>37.331901875901053</v>
      </c>
      <c r="L230" s="4" t="str">
        <f>IF(AND(E230&gt;G230, J230&gt;'P&amp;L'!$C$23, COUNTIF($L$4:L229, "Long")=COUNTIF($N$4:N229, "Close")), "Long", "")</f>
        <v/>
      </c>
      <c r="M230" s="4" t="str">
        <f>IF(L230="Long", E230*'P&amp;L'!$C$21,"")</f>
        <v/>
      </c>
      <c r="N230" s="4" t="str">
        <f>IF(AND(J230&gt;'P&amp;L'!$C$24, COUNTIF($L$4:L229, "Long") &gt; COUNTIF($N$4:N229, "Close")), "Close", "")</f>
        <v/>
      </c>
      <c r="O230" s="5" t="str">
        <f>IF(AND(E230&lt;G230, J230&lt;'P&amp;L'!$C$24, J229&gt;'P&amp;L'!$C$24, COUNTIF($O$4:O229, "Short")=COUNTIF($Q$4:Q229, "Close")), "Short", "")</f>
        <v/>
      </c>
      <c r="P230" s="5" t="str">
        <f>IF(O230="Short", E230*'P&amp;L'!$C$21, "")</f>
        <v/>
      </c>
      <c r="Q230" s="5" t="str">
        <f>IF(AND(J230&gt;'P&amp;L'!$C$23, COUNTIF($O$4:O229, "Short") &gt; COUNTIF($Q$4:Q229, "Close")), "Close", "")</f>
        <v>Close</v>
      </c>
      <c r="R230" s="6">
        <v>142389.5</v>
      </c>
    </row>
    <row r="231" spans="1:18" x14ac:dyDescent="0.35">
      <c r="A231" s="12">
        <v>42710</v>
      </c>
      <c r="B231" s="1">
        <v>764.73</v>
      </c>
      <c r="C231" s="1">
        <v>768.83</v>
      </c>
      <c r="D231" s="1">
        <v>757.34</v>
      </c>
      <c r="E231" s="1">
        <v>759.11</v>
      </c>
      <c r="F231" s="1">
        <v>1690689</v>
      </c>
      <c r="G231" s="6">
        <f t="shared" si="19"/>
        <v>787.22476190476198</v>
      </c>
      <c r="H231" s="6">
        <f t="shared" si="15"/>
        <v>804.38</v>
      </c>
      <c r="I231" s="6">
        <f t="shared" si="16"/>
        <v>755.8</v>
      </c>
      <c r="J231" s="6">
        <f t="shared" si="17"/>
        <v>6.8135034993825787</v>
      </c>
      <c r="K231" s="6">
        <f t="shared" si="18"/>
        <v>21.07691918405558</v>
      </c>
      <c r="L231" s="4" t="str">
        <f>IF(AND(E231&gt;G231, J231&gt;'P&amp;L'!$C$23, COUNTIF($L$4:L230, "Long")=COUNTIF($N$4:N230, "Close")), "Long", "")</f>
        <v/>
      </c>
      <c r="M231" s="4" t="str">
        <f>IF(L231="Long", E231*'P&amp;L'!$C$21,"")</f>
        <v/>
      </c>
      <c r="N231" s="4" t="str">
        <f>IF(AND(J231&gt;'P&amp;L'!$C$24, COUNTIF($L$4:L230, "Long") &gt; COUNTIF($N$4:N230, "Close")), "Close", "")</f>
        <v/>
      </c>
      <c r="O231" s="5" t="str">
        <f>IF(AND(E231&lt;G231, J231&lt;'P&amp;L'!$C$24, J230&gt;'P&amp;L'!$C$24, COUNTIF($O$4:O230, "Short")=COUNTIF($Q$4:Q230, "Close")), "Short", "")</f>
        <v/>
      </c>
      <c r="P231" s="5" t="str">
        <f>IF(O231="Short", E231*'P&amp;L'!$C$21, "")</f>
        <v/>
      </c>
      <c r="Q231" s="5" t="str">
        <f>IF(AND(J231&gt;'P&amp;L'!$C$23, COUNTIF($O$4:O230, "Short") &gt; COUNTIF($Q$4:Q230, "Close")), "Close", "")</f>
        <v/>
      </c>
      <c r="R231" s="6">
        <v>142389.5</v>
      </c>
    </row>
    <row r="232" spans="1:18" x14ac:dyDescent="0.35">
      <c r="A232" s="12">
        <v>42709</v>
      </c>
      <c r="B232" s="1">
        <v>757.71</v>
      </c>
      <c r="C232" s="1">
        <v>763.9</v>
      </c>
      <c r="D232" s="1">
        <v>752.9</v>
      </c>
      <c r="E232" s="1">
        <v>762.52</v>
      </c>
      <c r="F232" s="1">
        <v>1394223</v>
      </c>
      <c r="G232" s="6">
        <f t="shared" si="19"/>
        <v>785.72476190476198</v>
      </c>
      <c r="H232" s="6">
        <f t="shared" si="15"/>
        <v>804.38</v>
      </c>
      <c r="I232" s="6">
        <f t="shared" si="16"/>
        <v>752.9</v>
      </c>
      <c r="J232" s="6">
        <f t="shared" si="17"/>
        <v>18.686868686868689</v>
      </c>
      <c r="K232" s="6">
        <f t="shared" si="18"/>
        <v>19.060025255990777</v>
      </c>
      <c r="L232" s="4" t="str">
        <f>IF(AND(E232&gt;G232, J232&gt;'P&amp;L'!$C$23, COUNTIF($L$4:L231, "Long")=COUNTIF($N$4:N231, "Close")), "Long", "")</f>
        <v/>
      </c>
      <c r="M232" s="4" t="str">
        <f>IF(L232="Long", E232*'P&amp;L'!$C$21,"")</f>
        <v/>
      </c>
      <c r="N232" s="4" t="str">
        <f>IF(AND(J232&gt;'P&amp;L'!$C$24, COUNTIF($L$4:L231, "Long") &gt; COUNTIF($N$4:N231, "Close")), "Close", "")</f>
        <v/>
      </c>
      <c r="O232" s="5" t="str">
        <f>IF(AND(E232&lt;G232, J232&lt;'P&amp;L'!$C$24, J231&gt;'P&amp;L'!$C$24, COUNTIF($O$4:O231, "Short")=COUNTIF($Q$4:Q231, "Close")), "Short", "")</f>
        <v/>
      </c>
      <c r="P232" s="5" t="str">
        <f>IF(O232="Short", E232*'P&amp;L'!$C$21, "")</f>
        <v/>
      </c>
      <c r="Q232" s="5" t="str">
        <f>IF(AND(J232&gt;'P&amp;L'!$C$23, COUNTIF($O$4:O231, "Short") &gt; COUNTIF($Q$4:Q231, "Close")), "Close", "")</f>
        <v/>
      </c>
      <c r="R232" s="6">
        <v>142389.5</v>
      </c>
    </row>
    <row r="233" spans="1:18" x14ac:dyDescent="0.35">
      <c r="A233" s="12">
        <v>42706</v>
      </c>
      <c r="B233" s="1">
        <v>744.59</v>
      </c>
      <c r="C233" s="1">
        <v>754</v>
      </c>
      <c r="D233" s="1">
        <v>743.1</v>
      </c>
      <c r="E233" s="1">
        <v>750.5</v>
      </c>
      <c r="F233" s="1">
        <v>1452484</v>
      </c>
      <c r="G233" s="6">
        <f t="shared" si="19"/>
        <v>783.99142857142874</v>
      </c>
      <c r="H233" s="6">
        <f t="shared" si="15"/>
        <v>804.38</v>
      </c>
      <c r="I233" s="6">
        <f t="shared" si="16"/>
        <v>743.1</v>
      </c>
      <c r="J233" s="6">
        <f t="shared" si="17"/>
        <v>12.075718015665766</v>
      </c>
      <c r="K233" s="6">
        <f t="shared" si="18"/>
        <v>12.52536340063901</v>
      </c>
      <c r="L233" s="4" t="str">
        <f>IF(AND(E233&gt;G233, J233&gt;'P&amp;L'!$C$23, COUNTIF($L$4:L232, "Long")=COUNTIF($N$4:N232, "Close")), "Long", "")</f>
        <v/>
      </c>
      <c r="M233" s="4" t="str">
        <f>IF(L233="Long", E233*'P&amp;L'!$C$21,"")</f>
        <v/>
      </c>
      <c r="N233" s="4" t="str">
        <f>IF(AND(J233&gt;'P&amp;L'!$C$24, COUNTIF($L$4:L232, "Long") &gt; COUNTIF($N$4:N232, "Close")), "Close", "")</f>
        <v/>
      </c>
      <c r="O233" s="5" t="str">
        <f>IF(AND(E233&lt;G233, J233&lt;'P&amp;L'!$C$24, J232&gt;'P&amp;L'!$C$24, COUNTIF($O$4:O232, "Short")=COUNTIF($Q$4:Q232, "Close")), "Short", "")</f>
        <v/>
      </c>
      <c r="P233" s="5" t="str">
        <f>IF(O233="Short", E233*'P&amp;L'!$C$21, "")</f>
        <v/>
      </c>
      <c r="Q233" s="5" t="str">
        <f>IF(AND(J233&gt;'P&amp;L'!$C$23, COUNTIF($O$4:O232, "Short") &gt; COUNTIF($Q$4:Q232, "Close")), "Close", "")</f>
        <v/>
      </c>
      <c r="R233" s="6">
        <v>142389.5</v>
      </c>
    </row>
    <row r="234" spans="1:18" x14ac:dyDescent="0.35">
      <c r="A234" s="12">
        <v>42705</v>
      </c>
      <c r="B234" s="1">
        <v>757.44</v>
      </c>
      <c r="C234" s="1">
        <v>759.85</v>
      </c>
      <c r="D234" s="1">
        <v>737.02</v>
      </c>
      <c r="E234" s="1">
        <v>747.92</v>
      </c>
      <c r="F234" s="1">
        <v>3017947</v>
      </c>
      <c r="G234" s="6">
        <f t="shared" si="19"/>
        <v>782.17142857142869</v>
      </c>
      <c r="H234" s="6">
        <f t="shared" si="15"/>
        <v>804.38</v>
      </c>
      <c r="I234" s="6">
        <f t="shared" si="16"/>
        <v>737.02</v>
      </c>
      <c r="J234" s="6">
        <f t="shared" si="17"/>
        <v>16.181710213776686</v>
      </c>
      <c r="K234" s="6">
        <f t="shared" si="18"/>
        <v>15.648098972103716</v>
      </c>
      <c r="L234" s="4" t="str">
        <f>IF(AND(E234&gt;G234, J234&gt;'P&amp;L'!$C$23, COUNTIF($L$4:L233, "Long")=COUNTIF($N$4:N233, "Close")), "Long", "")</f>
        <v/>
      </c>
      <c r="M234" s="4" t="str">
        <f>IF(L234="Long", E234*'P&amp;L'!$C$21,"")</f>
        <v/>
      </c>
      <c r="N234" s="4" t="str">
        <f>IF(AND(J234&gt;'P&amp;L'!$C$24, COUNTIF($L$4:L233, "Long") &gt; COUNTIF($N$4:N233, "Close")), "Close", "")</f>
        <v/>
      </c>
      <c r="O234" s="5" t="str">
        <f>IF(AND(E234&lt;G234, J234&lt;'P&amp;L'!$C$24, J233&gt;'P&amp;L'!$C$24, COUNTIF($O$4:O233, "Short")=COUNTIF($Q$4:Q233, "Close")), "Short", "")</f>
        <v/>
      </c>
      <c r="P234" s="5" t="str">
        <f>IF(O234="Short", E234*'P&amp;L'!$C$21, "")</f>
        <v/>
      </c>
      <c r="Q234" s="5" t="str">
        <f>IF(AND(J234&gt;'P&amp;L'!$C$23, COUNTIF($O$4:O233, "Short") &gt; COUNTIF($Q$4:Q233, "Close")), "Close", "")</f>
        <v/>
      </c>
      <c r="R234" s="6">
        <v>142389.5</v>
      </c>
    </row>
    <row r="235" spans="1:18" x14ac:dyDescent="0.35">
      <c r="A235" s="12">
        <v>42704</v>
      </c>
      <c r="B235" s="1">
        <v>770.07</v>
      </c>
      <c r="C235" s="1">
        <v>772.99</v>
      </c>
      <c r="D235" s="1">
        <v>754.83</v>
      </c>
      <c r="E235" s="1">
        <v>758.04</v>
      </c>
      <c r="F235" s="1">
        <v>2392890</v>
      </c>
      <c r="G235" s="6">
        <f t="shared" si="19"/>
        <v>781.51523809523803</v>
      </c>
      <c r="H235" s="6">
        <f t="shared" si="15"/>
        <v>804.38</v>
      </c>
      <c r="I235" s="6">
        <f t="shared" si="16"/>
        <v>737.02</v>
      </c>
      <c r="J235" s="6">
        <f t="shared" si="17"/>
        <v>31.20546318289783</v>
      </c>
      <c r="K235" s="6">
        <f t="shared" si="18"/>
        <v>19.820963804113429</v>
      </c>
      <c r="L235" s="4" t="str">
        <f>IF(AND(E235&gt;G235, J235&gt;'P&amp;L'!$C$23, COUNTIF($L$4:L234, "Long")=COUNTIF($N$4:N234, "Close")), "Long", "")</f>
        <v/>
      </c>
      <c r="M235" s="4" t="str">
        <f>IF(L235="Long", E235*'P&amp;L'!$C$21,"")</f>
        <v/>
      </c>
      <c r="N235" s="4" t="str">
        <f>IF(AND(J235&gt;'P&amp;L'!$C$24, COUNTIF($L$4:L234, "Long") &gt; COUNTIF($N$4:N234, "Close")), "Close", "")</f>
        <v/>
      </c>
      <c r="O235" s="5" t="str">
        <f>IF(AND(E235&lt;G235, J235&lt;'P&amp;L'!$C$24, J234&gt;'P&amp;L'!$C$24, COUNTIF($O$4:O234, "Short")=COUNTIF($Q$4:Q234, "Close")), "Short", "")</f>
        <v/>
      </c>
      <c r="P235" s="5" t="str">
        <f>IF(O235="Short", E235*'P&amp;L'!$C$21, "")</f>
        <v/>
      </c>
      <c r="Q235" s="5" t="str">
        <f>IF(AND(J235&gt;'P&amp;L'!$C$23, COUNTIF($O$4:O234, "Short") &gt; COUNTIF($Q$4:Q234, "Close")), "Close", "")</f>
        <v/>
      </c>
      <c r="R235" s="6">
        <v>142389.5</v>
      </c>
    </row>
    <row r="236" spans="1:18" x14ac:dyDescent="0.35">
      <c r="A236" s="12">
        <v>42703</v>
      </c>
      <c r="B236" s="1">
        <v>771.53</v>
      </c>
      <c r="C236" s="1">
        <v>778.5</v>
      </c>
      <c r="D236" s="1">
        <v>768.24</v>
      </c>
      <c r="E236" s="1">
        <v>770.84</v>
      </c>
      <c r="F236" s="1">
        <v>1616618</v>
      </c>
      <c r="G236" s="6">
        <f t="shared" si="19"/>
        <v>780.9461904761904</v>
      </c>
      <c r="H236" s="6">
        <f t="shared" si="15"/>
        <v>804.38</v>
      </c>
      <c r="I236" s="6">
        <f t="shared" si="16"/>
        <v>737.02</v>
      </c>
      <c r="J236" s="6">
        <f t="shared" si="17"/>
        <v>50.207838479810043</v>
      </c>
      <c r="K236" s="6">
        <f t="shared" si="18"/>
        <v>32.531670625494854</v>
      </c>
      <c r="L236" s="4" t="str">
        <f>IF(AND(E236&gt;G236, J236&gt;'P&amp;L'!$C$23, COUNTIF($L$4:L235, "Long")=COUNTIF($N$4:N235, "Close")), "Long", "")</f>
        <v/>
      </c>
      <c r="M236" s="4" t="str">
        <f>IF(L236="Long", E236*'P&amp;L'!$C$21,"")</f>
        <v/>
      </c>
      <c r="N236" s="4" t="str">
        <f>IF(AND(J236&gt;'P&amp;L'!$C$24, COUNTIF($L$4:L235, "Long") &gt; COUNTIF($N$4:N235, "Close")), "Close", "")</f>
        <v/>
      </c>
      <c r="O236" s="5" t="str">
        <f>IF(AND(E236&lt;G236, J236&lt;'P&amp;L'!$C$24, J235&gt;'P&amp;L'!$C$24, COUNTIF($O$4:O235, "Short")=COUNTIF($Q$4:Q235, "Close")), "Short", "")</f>
        <v/>
      </c>
      <c r="P236" s="5" t="str">
        <f>IF(O236="Short", E236*'P&amp;L'!$C$21, "")</f>
        <v/>
      </c>
      <c r="Q236" s="5" t="str">
        <f>IF(AND(J236&gt;'P&amp;L'!$C$23, COUNTIF($O$4:O235, "Short") &gt; COUNTIF($Q$4:Q235, "Close")), "Close", "")</f>
        <v/>
      </c>
      <c r="R236" s="6">
        <v>142389.5</v>
      </c>
    </row>
    <row r="237" spans="1:18" x14ac:dyDescent="0.35">
      <c r="A237" s="12">
        <v>42702</v>
      </c>
      <c r="B237" s="1">
        <v>760</v>
      </c>
      <c r="C237" s="1">
        <v>779.53</v>
      </c>
      <c r="D237" s="1">
        <v>759.8</v>
      </c>
      <c r="E237" s="1">
        <v>768.24</v>
      </c>
      <c r="F237" s="1">
        <v>2188151</v>
      </c>
      <c r="G237" s="6">
        <f t="shared" si="19"/>
        <v>780.14571428571446</v>
      </c>
      <c r="H237" s="6">
        <f t="shared" si="15"/>
        <v>804.38</v>
      </c>
      <c r="I237" s="6">
        <f t="shared" si="16"/>
        <v>737.02</v>
      </c>
      <c r="J237" s="6">
        <f t="shared" si="17"/>
        <v>46.347980997624731</v>
      </c>
      <c r="K237" s="6">
        <f t="shared" si="18"/>
        <v>42.58709422011087</v>
      </c>
      <c r="L237" s="4" t="str">
        <f>IF(AND(E237&gt;G237, J237&gt;'P&amp;L'!$C$23, COUNTIF($L$4:L236, "Long")=COUNTIF($N$4:N236, "Close")), "Long", "")</f>
        <v/>
      </c>
      <c r="M237" s="4" t="str">
        <f>IF(L237="Long", E237*'P&amp;L'!$C$21,"")</f>
        <v/>
      </c>
      <c r="N237" s="4" t="str">
        <f>IF(AND(J237&gt;'P&amp;L'!$C$24, COUNTIF($L$4:L236, "Long") &gt; COUNTIF($N$4:N236, "Close")), "Close", "")</f>
        <v/>
      </c>
      <c r="O237" s="5" t="str">
        <f>IF(AND(E237&lt;G237, J237&lt;'P&amp;L'!$C$24, J236&gt;'P&amp;L'!$C$24, COUNTIF($O$4:O236, "Short")=COUNTIF($Q$4:Q236, "Close")), "Short", "")</f>
        <v/>
      </c>
      <c r="P237" s="5" t="str">
        <f>IF(O237="Short", E237*'P&amp;L'!$C$21, "")</f>
        <v/>
      </c>
      <c r="Q237" s="5" t="str">
        <f>IF(AND(J237&gt;'P&amp;L'!$C$23, COUNTIF($O$4:O236, "Short") &gt; COUNTIF($Q$4:Q236, "Close")), "Close", "")</f>
        <v/>
      </c>
      <c r="R237" s="6">
        <v>142389.5</v>
      </c>
    </row>
    <row r="238" spans="1:18" x14ac:dyDescent="0.35">
      <c r="A238" s="12">
        <v>42699</v>
      </c>
      <c r="B238" s="1">
        <v>764.26</v>
      </c>
      <c r="C238" s="1">
        <v>765</v>
      </c>
      <c r="D238" s="1">
        <v>760.52</v>
      </c>
      <c r="E238" s="1">
        <v>761.68</v>
      </c>
      <c r="F238" s="1">
        <v>587421</v>
      </c>
      <c r="G238" s="6">
        <f t="shared" si="19"/>
        <v>778.72333333333336</v>
      </c>
      <c r="H238" s="6">
        <f t="shared" si="15"/>
        <v>804.38</v>
      </c>
      <c r="I238" s="6">
        <f t="shared" si="16"/>
        <v>737.02</v>
      </c>
      <c r="J238" s="6">
        <f t="shared" si="17"/>
        <v>36.609263657957193</v>
      </c>
      <c r="K238" s="6">
        <f t="shared" si="18"/>
        <v>44.388361045130658</v>
      </c>
      <c r="L238" s="4" t="str">
        <f>IF(AND(E238&gt;G238, J238&gt;'P&amp;L'!$C$23, COUNTIF($L$4:L237, "Long")=COUNTIF($N$4:N237, "Close")), "Long", "")</f>
        <v/>
      </c>
      <c r="M238" s="4" t="str">
        <f>IF(L238="Long", E238*'P&amp;L'!$C$21,"")</f>
        <v/>
      </c>
      <c r="N238" s="4" t="str">
        <f>IF(AND(J238&gt;'P&amp;L'!$C$24, COUNTIF($L$4:L237, "Long") &gt; COUNTIF($N$4:N237, "Close")), "Close", "")</f>
        <v/>
      </c>
      <c r="O238" s="5" t="str">
        <f>IF(AND(E238&lt;G238, J238&lt;'P&amp;L'!$C$24, J237&gt;'P&amp;L'!$C$24, COUNTIF($O$4:O237, "Short")=COUNTIF($Q$4:Q237, "Close")), "Short", "")</f>
        <v>Short</v>
      </c>
      <c r="P238" s="5">
        <f>IF(O238="Short", E238*'P&amp;L'!$C$21, "")</f>
        <v>38084</v>
      </c>
      <c r="Q238" s="5" t="str">
        <f>IF(AND(J238&gt;'P&amp;L'!$C$23, COUNTIF($O$4:O237, "Short") &gt; COUNTIF($Q$4:Q237, "Close")), "Close", "")</f>
        <v/>
      </c>
      <c r="R238" s="6">
        <v>180473.5</v>
      </c>
    </row>
    <row r="239" spans="1:18" x14ac:dyDescent="0.35">
      <c r="A239" s="12">
        <v>42697</v>
      </c>
      <c r="B239" s="1">
        <v>767.73</v>
      </c>
      <c r="C239" s="1">
        <v>768.28</v>
      </c>
      <c r="D239" s="1">
        <v>755.25</v>
      </c>
      <c r="E239" s="1">
        <v>760.99</v>
      </c>
      <c r="F239" s="1">
        <v>1478417</v>
      </c>
      <c r="G239" s="6">
        <f t="shared" si="19"/>
        <v>777.34619047619049</v>
      </c>
      <c r="H239" s="6">
        <f t="shared" si="15"/>
        <v>804.38</v>
      </c>
      <c r="I239" s="6">
        <f t="shared" si="16"/>
        <v>737.02</v>
      </c>
      <c r="J239" s="6">
        <f t="shared" si="17"/>
        <v>35.584916864608104</v>
      </c>
      <c r="K239" s="6">
        <f t="shared" si="18"/>
        <v>39.51405384006334</v>
      </c>
      <c r="L239" s="4" t="str">
        <f>IF(AND(E239&gt;G239, J239&gt;'P&amp;L'!$C$23, COUNTIF($L$4:L238, "Long")=COUNTIF($N$4:N238, "Close")), "Long", "")</f>
        <v/>
      </c>
      <c r="M239" s="4" t="str">
        <f>IF(L239="Long", E239*'P&amp;L'!$C$21,"")</f>
        <v/>
      </c>
      <c r="N239" s="4" t="str">
        <f>IF(AND(J239&gt;'P&amp;L'!$C$24, COUNTIF($L$4:L238, "Long") &gt; COUNTIF($N$4:N238, "Close")), "Close", "")</f>
        <v/>
      </c>
      <c r="O239" s="5" t="str">
        <f>IF(AND(E239&lt;G239, J239&lt;'P&amp;L'!$C$24, J238&gt;'P&amp;L'!$C$24, COUNTIF($O$4:O238, "Short")=COUNTIF($Q$4:Q238, "Close")), "Short", "")</f>
        <v/>
      </c>
      <c r="P239" s="5" t="str">
        <f>IF(O239="Short", E239*'P&amp;L'!$C$21, "")</f>
        <v/>
      </c>
      <c r="Q239" s="5" t="str">
        <f>IF(AND(J239&gt;'P&amp;L'!$C$23, COUNTIF($O$4:O238, "Short") &gt; COUNTIF($Q$4:Q238, "Close")), "Close", "")</f>
        <v>Close</v>
      </c>
      <c r="R239" s="6">
        <v>142424</v>
      </c>
    </row>
    <row r="240" spans="1:18" x14ac:dyDescent="0.35">
      <c r="A240" s="12">
        <v>42696</v>
      </c>
      <c r="B240" s="1">
        <v>772.63</v>
      </c>
      <c r="C240" s="1">
        <v>776.96</v>
      </c>
      <c r="D240" s="1">
        <v>767</v>
      </c>
      <c r="E240" s="1">
        <v>768.27</v>
      </c>
      <c r="F240" s="1">
        <v>1593108</v>
      </c>
      <c r="G240" s="6">
        <f t="shared" si="19"/>
        <v>776.25142857142873</v>
      </c>
      <c r="H240" s="6">
        <f t="shared" si="15"/>
        <v>804.38</v>
      </c>
      <c r="I240" s="6">
        <f t="shared" si="16"/>
        <v>737.02</v>
      </c>
      <c r="J240" s="6">
        <f t="shared" si="17"/>
        <v>46.39251781472683</v>
      </c>
      <c r="K240" s="6">
        <f t="shared" si="18"/>
        <v>39.52889944576404</v>
      </c>
      <c r="L240" s="4" t="str">
        <f>IF(AND(E240&gt;G240, J240&gt;'P&amp;L'!$C$23, COUNTIF($L$4:L239, "Long")=COUNTIF($N$4:N239, "Close")), "Long", "")</f>
        <v/>
      </c>
      <c r="M240" s="4" t="str">
        <f>IF(L240="Long", E240*'P&amp;L'!$C$21,"")</f>
        <v/>
      </c>
      <c r="N240" s="4" t="str">
        <f>IF(AND(J240&gt;'P&amp;L'!$C$24, COUNTIF($L$4:L239, "Long") &gt; COUNTIF($N$4:N239, "Close")), "Close", "")</f>
        <v/>
      </c>
      <c r="O240" s="5" t="str">
        <f>IF(AND(E240&lt;G240, J240&lt;'P&amp;L'!$C$24, J239&gt;'P&amp;L'!$C$24, COUNTIF($O$4:O239, "Short")=COUNTIF($Q$4:Q239, "Close")), "Short", "")</f>
        <v/>
      </c>
      <c r="P240" s="5" t="str">
        <f>IF(O240="Short", E240*'P&amp;L'!$C$21, "")</f>
        <v/>
      </c>
      <c r="Q240" s="5" t="str">
        <f>IF(AND(J240&gt;'P&amp;L'!$C$23, COUNTIF($O$4:O239, "Short") &gt; COUNTIF($Q$4:Q239, "Close")), "Close", "")</f>
        <v/>
      </c>
      <c r="R240" s="6">
        <v>142424</v>
      </c>
    </row>
    <row r="241" spans="1:18" x14ac:dyDescent="0.35">
      <c r="A241" s="12">
        <v>42695</v>
      </c>
      <c r="B241" s="1">
        <v>762.61</v>
      </c>
      <c r="C241" s="1">
        <v>769.7</v>
      </c>
      <c r="D241" s="1">
        <v>760.6</v>
      </c>
      <c r="E241" s="1">
        <v>769.2</v>
      </c>
      <c r="F241" s="1">
        <v>1330639</v>
      </c>
      <c r="G241" s="6">
        <f t="shared" si="19"/>
        <v>775.04380952380961</v>
      </c>
      <c r="H241" s="6">
        <f t="shared" si="15"/>
        <v>791.25</v>
      </c>
      <c r="I241" s="6">
        <f t="shared" si="16"/>
        <v>737.02</v>
      </c>
      <c r="J241" s="6">
        <f t="shared" si="17"/>
        <v>59.339848792181549</v>
      </c>
      <c r="K241" s="6">
        <f t="shared" si="18"/>
        <v>47.105761157172161</v>
      </c>
      <c r="L241" s="4" t="str">
        <f>IF(AND(E241&gt;G241, J241&gt;'P&amp;L'!$C$23, COUNTIF($L$4:L240, "Long")=COUNTIF($N$4:N240, "Close")), "Long", "")</f>
        <v/>
      </c>
      <c r="M241" s="4" t="str">
        <f>IF(L241="Long", E241*'P&amp;L'!$C$21,"")</f>
        <v/>
      </c>
      <c r="N241" s="4" t="str">
        <f>IF(AND(J241&gt;'P&amp;L'!$C$24, COUNTIF($L$4:L240, "Long") &gt; COUNTIF($N$4:N240, "Close")), "Close", "")</f>
        <v/>
      </c>
      <c r="O241" s="5" t="str">
        <f>IF(AND(E241&lt;G241, J241&lt;'P&amp;L'!$C$24, J240&gt;'P&amp;L'!$C$24, COUNTIF($O$4:O240, "Short")=COUNTIF($Q$4:Q240, "Close")), "Short", "")</f>
        <v/>
      </c>
      <c r="P241" s="5" t="str">
        <f>IF(O241="Short", E241*'P&amp;L'!$C$21, "")</f>
        <v/>
      </c>
      <c r="Q241" s="5" t="str">
        <f>IF(AND(J241&gt;'P&amp;L'!$C$23, COUNTIF($O$4:O240, "Short") &gt; COUNTIF($Q$4:Q240, "Close")), "Close", "")</f>
        <v/>
      </c>
      <c r="R241" s="6">
        <v>142424</v>
      </c>
    </row>
    <row r="242" spans="1:18" x14ac:dyDescent="0.35">
      <c r="A242" s="12">
        <v>42692</v>
      </c>
      <c r="B242" s="1">
        <v>771.37</v>
      </c>
      <c r="C242" s="1">
        <v>775</v>
      </c>
      <c r="D242" s="1">
        <v>760</v>
      </c>
      <c r="E242" s="1">
        <v>760.54</v>
      </c>
      <c r="F242" s="1">
        <v>1547145</v>
      </c>
      <c r="G242" s="6">
        <f t="shared" si="19"/>
        <v>773.33523809523808</v>
      </c>
      <c r="H242" s="6">
        <f t="shared" si="15"/>
        <v>789.43</v>
      </c>
      <c r="I242" s="6">
        <f t="shared" si="16"/>
        <v>737.02</v>
      </c>
      <c r="J242" s="6">
        <f t="shared" si="17"/>
        <v>44.87693188322838</v>
      </c>
      <c r="K242" s="6">
        <f t="shared" si="18"/>
        <v>50.203099496712262</v>
      </c>
      <c r="L242" s="4" t="str">
        <f>IF(AND(E242&gt;G242, J242&gt;'P&amp;L'!$C$23, COUNTIF($L$4:L241, "Long")=COUNTIF($N$4:N241, "Close")), "Long", "")</f>
        <v/>
      </c>
      <c r="M242" s="4" t="str">
        <f>IF(L242="Long", E242*'P&amp;L'!$C$21,"")</f>
        <v/>
      </c>
      <c r="N242" s="4" t="str">
        <f>IF(AND(J242&gt;'P&amp;L'!$C$24, COUNTIF($L$4:L241, "Long") &gt; COUNTIF($N$4:N241, "Close")), "Close", "")</f>
        <v/>
      </c>
      <c r="O242" s="5" t="str">
        <f>IF(AND(E242&lt;G242, J242&lt;'P&amp;L'!$C$24, J241&gt;'P&amp;L'!$C$24, COUNTIF($O$4:O241, "Short")=COUNTIF($Q$4:Q241, "Close")), "Short", "")</f>
        <v/>
      </c>
      <c r="P242" s="5" t="str">
        <f>IF(O242="Short", E242*'P&amp;L'!$C$21, "")</f>
        <v/>
      </c>
      <c r="Q242" s="5" t="str">
        <f>IF(AND(J242&gt;'P&amp;L'!$C$23, COUNTIF($O$4:O241, "Short") &gt; COUNTIF($Q$4:Q241, "Close")), "Close", "")</f>
        <v/>
      </c>
      <c r="R242" s="6">
        <v>142424</v>
      </c>
    </row>
    <row r="243" spans="1:18" x14ac:dyDescent="0.35">
      <c r="A243" s="12">
        <v>42691</v>
      </c>
      <c r="B243" s="1">
        <v>766.92</v>
      </c>
      <c r="C243" s="1">
        <v>772.7</v>
      </c>
      <c r="D243" s="1">
        <v>764.23</v>
      </c>
      <c r="E243" s="1">
        <v>771.23</v>
      </c>
      <c r="F243" s="1">
        <v>1286961</v>
      </c>
      <c r="G243" s="6">
        <f t="shared" si="19"/>
        <v>772.24142857142851</v>
      </c>
      <c r="H243" s="6">
        <f t="shared" si="15"/>
        <v>779.53</v>
      </c>
      <c r="I243" s="6">
        <f t="shared" si="16"/>
        <v>737.02</v>
      </c>
      <c r="J243" s="6">
        <f t="shared" si="17"/>
        <v>80.475182310044801</v>
      </c>
      <c r="K243" s="6">
        <f t="shared" si="18"/>
        <v>61.563987661818238</v>
      </c>
      <c r="L243" s="4" t="str">
        <f>IF(AND(E243&gt;G243, J243&gt;'P&amp;L'!$C$23, COUNTIF($L$4:L242, "Long")=COUNTIF($N$4:N242, "Close")), "Long", "")</f>
        <v/>
      </c>
      <c r="M243" s="4" t="str">
        <f>IF(L243="Long", E243*'P&amp;L'!$C$21,"")</f>
        <v/>
      </c>
      <c r="N243" s="4" t="str">
        <f>IF(AND(J243&gt;'P&amp;L'!$C$24, COUNTIF($L$4:L242, "Long") &gt; COUNTIF($N$4:N242, "Close")), "Close", "")</f>
        <v/>
      </c>
      <c r="O243" s="5" t="str">
        <f>IF(AND(E243&lt;G243, J243&lt;'P&amp;L'!$C$24, J242&gt;'P&amp;L'!$C$24, COUNTIF($O$4:O242, "Short")=COUNTIF($Q$4:Q242, "Close")), "Short", "")</f>
        <v/>
      </c>
      <c r="P243" s="5" t="str">
        <f>IF(O243="Short", E243*'P&amp;L'!$C$21, "")</f>
        <v/>
      </c>
      <c r="Q243" s="5" t="str">
        <f>IF(AND(J243&gt;'P&amp;L'!$C$23, COUNTIF($O$4:O242, "Short") &gt; COUNTIF($Q$4:Q242, "Close")), "Close", "")</f>
        <v/>
      </c>
      <c r="R243" s="6">
        <v>142424</v>
      </c>
    </row>
    <row r="244" spans="1:18" x14ac:dyDescent="0.35">
      <c r="A244" s="12">
        <v>42690</v>
      </c>
      <c r="B244" s="1">
        <v>755.2</v>
      </c>
      <c r="C244" s="1">
        <v>766.36</v>
      </c>
      <c r="D244" s="1">
        <v>750.51</v>
      </c>
      <c r="E244" s="1">
        <v>764.48</v>
      </c>
      <c r="F244" s="1">
        <v>1472594</v>
      </c>
      <c r="G244" s="6">
        <f t="shared" si="19"/>
        <v>770.98809523809518</v>
      </c>
      <c r="H244" s="6">
        <f t="shared" si="15"/>
        <v>779.53</v>
      </c>
      <c r="I244" s="6">
        <f t="shared" si="16"/>
        <v>737.02</v>
      </c>
      <c r="J244" s="6">
        <f t="shared" si="17"/>
        <v>64.596565513996808</v>
      </c>
      <c r="K244" s="6">
        <f t="shared" si="18"/>
        <v>63.316226569089999</v>
      </c>
      <c r="L244" s="4" t="str">
        <f>IF(AND(E244&gt;G244, J244&gt;'P&amp;L'!$C$23, COUNTIF($L$4:L243, "Long")=COUNTIF($N$4:N243, "Close")), "Long", "")</f>
        <v/>
      </c>
      <c r="M244" s="4" t="str">
        <f>IF(L244="Long", E244*'P&amp;L'!$C$21,"")</f>
        <v/>
      </c>
      <c r="N244" s="4" t="str">
        <f>IF(AND(J244&gt;'P&amp;L'!$C$24, COUNTIF($L$4:L243, "Long") &gt; COUNTIF($N$4:N243, "Close")), "Close", "")</f>
        <v/>
      </c>
      <c r="O244" s="5" t="str">
        <f>IF(AND(E244&lt;G244, J244&lt;'P&amp;L'!$C$24, J243&gt;'P&amp;L'!$C$24, COUNTIF($O$4:O243, "Short")=COUNTIF($Q$4:Q243, "Close")), "Short", "")</f>
        <v/>
      </c>
      <c r="P244" s="5" t="str">
        <f>IF(O244="Short", E244*'P&amp;L'!$C$21, "")</f>
        <v/>
      </c>
      <c r="Q244" s="5" t="str">
        <f>IF(AND(J244&gt;'P&amp;L'!$C$23, COUNTIF($O$4:O243, "Short") &gt; COUNTIF($Q$4:Q243, "Close")), "Close", "")</f>
        <v/>
      </c>
      <c r="R244" s="6">
        <v>142424</v>
      </c>
    </row>
    <row r="245" spans="1:18" x14ac:dyDescent="0.35">
      <c r="A245" s="12">
        <v>42689</v>
      </c>
      <c r="B245" s="1">
        <v>746.97</v>
      </c>
      <c r="C245" s="1">
        <v>764.42</v>
      </c>
      <c r="D245" s="1">
        <v>746.97</v>
      </c>
      <c r="E245" s="1">
        <v>758.49</v>
      </c>
      <c r="F245" s="1">
        <v>2384001</v>
      </c>
      <c r="G245" s="6">
        <f t="shared" si="19"/>
        <v>769.11380952380955</v>
      </c>
      <c r="H245" s="6">
        <f t="shared" si="15"/>
        <v>779.53</v>
      </c>
      <c r="I245" s="6">
        <f t="shared" si="16"/>
        <v>737.02</v>
      </c>
      <c r="J245" s="6">
        <f t="shared" si="17"/>
        <v>50.505763349800127</v>
      </c>
      <c r="K245" s="6">
        <f t="shared" si="18"/>
        <v>65.192503724613914</v>
      </c>
      <c r="L245" s="4" t="str">
        <f>IF(AND(E245&gt;G245, J245&gt;'P&amp;L'!$C$23, COUNTIF($L$4:L244, "Long")=COUNTIF($N$4:N244, "Close")), "Long", "")</f>
        <v/>
      </c>
      <c r="M245" s="4" t="str">
        <f>IF(L245="Long", E245*'P&amp;L'!$C$21,"")</f>
        <v/>
      </c>
      <c r="N245" s="4" t="str">
        <f>IF(AND(J245&gt;'P&amp;L'!$C$24, COUNTIF($L$4:L244, "Long") &gt; COUNTIF($N$4:N244, "Close")), "Close", "")</f>
        <v/>
      </c>
      <c r="O245" s="5" t="str">
        <f>IF(AND(E245&lt;G245, J245&lt;'P&amp;L'!$C$24, J244&gt;'P&amp;L'!$C$24, COUNTIF($O$4:O244, "Short")=COUNTIF($Q$4:Q244, "Close")), "Short", "")</f>
        <v/>
      </c>
      <c r="P245" s="5" t="str">
        <f>IF(O245="Short", E245*'P&amp;L'!$C$21, "")</f>
        <v/>
      </c>
      <c r="Q245" s="5" t="str">
        <f>IF(AND(J245&gt;'P&amp;L'!$C$23, COUNTIF($O$4:O244, "Short") &gt; COUNTIF($Q$4:Q244, "Close")), "Close", "")</f>
        <v/>
      </c>
      <c r="R245" s="6">
        <v>142424</v>
      </c>
    </row>
    <row r="246" spans="1:18" x14ac:dyDescent="0.35">
      <c r="A246" s="12">
        <v>42688</v>
      </c>
      <c r="B246" s="1">
        <v>755.6</v>
      </c>
      <c r="C246" s="1">
        <v>757.85</v>
      </c>
      <c r="D246" s="1">
        <v>727.54</v>
      </c>
      <c r="E246" s="1">
        <v>736.08</v>
      </c>
      <c r="F246" s="1">
        <v>3654385</v>
      </c>
      <c r="G246" s="6">
        <f t="shared" si="19"/>
        <v>766.20952380952372</v>
      </c>
      <c r="H246" s="6">
        <f t="shared" si="15"/>
        <v>779.53</v>
      </c>
      <c r="I246" s="6">
        <f t="shared" si="16"/>
        <v>727.54</v>
      </c>
      <c r="J246" s="6">
        <f t="shared" si="17"/>
        <v>16.426235814579872</v>
      </c>
      <c r="K246" s="6">
        <f t="shared" si="18"/>
        <v>43.842854892792275</v>
      </c>
      <c r="L246" s="4" t="str">
        <f>IF(AND(E246&gt;G246, J246&gt;'P&amp;L'!$C$23, COUNTIF($L$4:L245, "Long")=COUNTIF($N$4:N245, "Close")), "Long", "")</f>
        <v/>
      </c>
      <c r="M246" s="4" t="str">
        <f>IF(L246="Long", E246*'P&amp;L'!$C$21,"")</f>
        <v/>
      </c>
      <c r="N246" s="4" t="str">
        <f>IF(AND(J246&gt;'P&amp;L'!$C$24, COUNTIF($L$4:L245, "Long") &gt; COUNTIF($N$4:N245, "Close")), "Close", "")</f>
        <v/>
      </c>
      <c r="O246" s="5" t="str">
        <f>IF(AND(E246&lt;G246, J246&lt;'P&amp;L'!$C$24, J245&gt;'P&amp;L'!$C$24, COUNTIF($O$4:O245, "Short")=COUNTIF($Q$4:Q245, "Close")), "Short", "")</f>
        <v>Short</v>
      </c>
      <c r="P246" s="5">
        <f>IF(O246="Short", E246*'P&amp;L'!$C$21, "")</f>
        <v>36804</v>
      </c>
      <c r="Q246" s="5" t="str">
        <f>IF(AND(J246&gt;'P&amp;L'!$C$23, COUNTIF($O$4:O245, "Short") &gt; COUNTIF($Q$4:Q245, "Close")), "Close", "")</f>
        <v/>
      </c>
      <c r="R246" s="6">
        <v>179228</v>
      </c>
    </row>
    <row r="247" spans="1:18" x14ac:dyDescent="0.35">
      <c r="A247" s="12">
        <v>42685</v>
      </c>
      <c r="B247" s="1">
        <v>756.54</v>
      </c>
      <c r="C247" s="1">
        <v>760.78</v>
      </c>
      <c r="D247" s="1">
        <v>750.38</v>
      </c>
      <c r="E247" s="1">
        <v>754.02</v>
      </c>
      <c r="F247" s="1">
        <v>2431815</v>
      </c>
      <c r="G247" s="6">
        <f t="shared" si="19"/>
        <v>764.20571428571429</v>
      </c>
      <c r="H247" s="6">
        <f t="shared" si="15"/>
        <v>779.53</v>
      </c>
      <c r="I247" s="6">
        <f t="shared" si="16"/>
        <v>727.54</v>
      </c>
      <c r="J247" s="6">
        <f t="shared" si="17"/>
        <v>50.932871706097352</v>
      </c>
      <c r="K247" s="6">
        <f t="shared" si="18"/>
        <v>39.288290290159118</v>
      </c>
      <c r="L247" s="4" t="str">
        <f>IF(AND(E247&gt;G247, J247&gt;'P&amp;L'!$C$23, COUNTIF($L$4:L246, "Long")=COUNTIF($N$4:N246, "Close")), "Long", "")</f>
        <v/>
      </c>
      <c r="M247" s="4" t="str">
        <f>IF(L247="Long", E247*'P&amp;L'!$C$21,"")</f>
        <v/>
      </c>
      <c r="N247" s="4" t="str">
        <f>IF(AND(J247&gt;'P&amp;L'!$C$24, COUNTIF($L$4:L246, "Long") &gt; COUNTIF($N$4:N246, "Close")), "Close", "")</f>
        <v/>
      </c>
      <c r="O247" s="5" t="str">
        <f>IF(AND(E247&lt;G247, J247&lt;'P&amp;L'!$C$24, J246&gt;'P&amp;L'!$C$24, COUNTIF($O$4:O246, "Short")=COUNTIF($Q$4:Q246, "Close")), "Short", "")</f>
        <v/>
      </c>
      <c r="P247" s="5" t="str">
        <f>IF(O247="Short", E247*'P&amp;L'!$C$21, "")</f>
        <v/>
      </c>
      <c r="Q247" s="5" t="str">
        <f>IF(AND(J247&gt;'P&amp;L'!$C$23, COUNTIF($O$4:O246, "Short") &gt; COUNTIF($Q$4:Q246, "Close")), "Close", "")</f>
        <v>Close</v>
      </c>
      <c r="R247" s="6">
        <v>141527</v>
      </c>
    </row>
    <row r="248" spans="1:18" x14ac:dyDescent="0.35">
      <c r="A248" s="12">
        <v>42684</v>
      </c>
      <c r="B248" s="1">
        <v>791.17</v>
      </c>
      <c r="C248" s="1">
        <v>791.17</v>
      </c>
      <c r="D248" s="1">
        <v>752.18</v>
      </c>
      <c r="E248" s="1">
        <v>762.56</v>
      </c>
      <c r="F248" s="1">
        <v>4745183</v>
      </c>
      <c r="G248" s="6">
        <f t="shared" si="19"/>
        <v>762.93380952380949</v>
      </c>
      <c r="H248" s="6">
        <f t="shared" si="15"/>
        <v>791.17</v>
      </c>
      <c r="I248" s="6">
        <f t="shared" si="16"/>
        <v>727.54</v>
      </c>
      <c r="J248" s="6">
        <f t="shared" si="17"/>
        <v>55.036932264655015</v>
      </c>
      <c r="K248" s="6">
        <f t="shared" si="18"/>
        <v>40.798679928444081</v>
      </c>
      <c r="L248" s="4" t="str">
        <f>IF(AND(E248&gt;G248, J248&gt;'P&amp;L'!$C$23, COUNTIF($L$4:L247, "Long")=COUNTIF($N$4:N247, "Close")), "Long", "")</f>
        <v/>
      </c>
      <c r="M248" s="4" t="str">
        <f>IF(L248="Long", E248*'P&amp;L'!$C$21,"")</f>
        <v/>
      </c>
      <c r="N248" s="4" t="str">
        <f>IF(AND(J248&gt;'P&amp;L'!$C$24, COUNTIF($L$4:L247, "Long") &gt; COUNTIF($N$4:N247, "Close")), "Close", "")</f>
        <v/>
      </c>
      <c r="O248" s="5" t="str">
        <f>IF(AND(E248&lt;G248, J248&lt;'P&amp;L'!$C$24, J247&gt;'P&amp;L'!$C$24, COUNTIF($O$4:O247, "Short")=COUNTIF($Q$4:Q247, "Close")), "Short", "")</f>
        <v/>
      </c>
      <c r="P248" s="5" t="str">
        <f>IF(O248="Short", E248*'P&amp;L'!$C$21, "")</f>
        <v/>
      </c>
      <c r="Q248" s="5" t="str">
        <f>IF(AND(J248&gt;'P&amp;L'!$C$23, COUNTIF($O$4:O247, "Short") &gt; COUNTIF($Q$4:Q247, "Close")), "Close", "")</f>
        <v/>
      </c>
      <c r="R248" s="6">
        <v>141527</v>
      </c>
    </row>
    <row r="249" spans="1:18" x14ac:dyDescent="0.35">
      <c r="A249" s="12">
        <v>42683</v>
      </c>
      <c r="B249" s="1">
        <v>779.94</v>
      </c>
      <c r="C249" s="1">
        <v>791.23</v>
      </c>
      <c r="D249" s="1">
        <v>771.67</v>
      </c>
      <c r="E249" s="1">
        <v>785.31</v>
      </c>
      <c r="F249" s="1">
        <v>2607121</v>
      </c>
      <c r="G249" s="6">
        <f t="shared" si="19"/>
        <v>762.74428571428575</v>
      </c>
      <c r="H249" s="6">
        <f t="shared" si="15"/>
        <v>791.23</v>
      </c>
      <c r="I249" s="6">
        <f t="shared" si="16"/>
        <v>727.54</v>
      </c>
      <c r="J249" s="6">
        <f t="shared" si="17"/>
        <v>90.704977233474537</v>
      </c>
      <c r="K249" s="6">
        <f t="shared" si="18"/>
        <v>65.558260401408972</v>
      </c>
      <c r="L249" s="4" t="str">
        <f>IF(AND(E249&gt;G249, J249&gt;'P&amp;L'!$C$23, COUNTIF($L$4:L248, "Long")=COUNTIF($N$4:N248, "Close")), "Long", "")</f>
        <v>Long</v>
      </c>
      <c r="M249" s="4">
        <f>IF(L249="Long", E249*'P&amp;L'!$C$21,"")</f>
        <v>39265.5</v>
      </c>
      <c r="N249" s="4" t="str">
        <f>IF(AND(J249&gt;'P&amp;L'!$C$24, COUNTIF($L$4:L248, "Long") &gt; COUNTIF($N$4:N248, "Close")), "Close", "")</f>
        <v/>
      </c>
      <c r="O249" s="5" t="str">
        <f>IF(AND(E249&lt;G249, J249&lt;'P&amp;L'!$C$24, J248&gt;'P&amp;L'!$C$24, COUNTIF($O$4:O248, "Short")=COUNTIF($Q$4:Q248, "Close")), "Short", "")</f>
        <v/>
      </c>
      <c r="P249" s="5" t="str">
        <f>IF(O249="Short", E249*'P&amp;L'!$C$21, "")</f>
        <v/>
      </c>
      <c r="Q249" s="5" t="str">
        <f>IF(AND(J249&gt;'P&amp;L'!$C$23, COUNTIF($O$4:O248, "Short") &gt; COUNTIF($Q$4:Q248, "Close")), "Close", "")</f>
        <v/>
      </c>
      <c r="R249" s="6">
        <v>102261.5</v>
      </c>
    </row>
    <row r="250" spans="1:18" x14ac:dyDescent="0.35">
      <c r="A250" s="12">
        <v>42682</v>
      </c>
      <c r="B250" s="1">
        <v>783.4</v>
      </c>
      <c r="C250" s="1">
        <v>795.63</v>
      </c>
      <c r="D250" s="1">
        <v>780.19</v>
      </c>
      <c r="E250" s="1">
        <v>790.51</v>
      </c>
      <c r="F250" s="1">
        <v>1366873</v>
      </c>
      <c r="G250" s="6">
        <f t="shared" si="19"/>
        <v>763.41523809523801</v>
      </c>
      <c r="H250" s="6">
        <f t="shared" si="15"/>
        <v>795.63</v>
      </c>
      <c r="I250" s="6">
        <f t="shared" si="16"/>
        <v>727.54</v>
      </c>
      <c r="J250" s="6">
        <f t="shared" si="17"/>
        <v>92.480540461154348</v>
      </c>
      <c r="K250" s="6">
        <f t="shared" si="18"/>
        <v>79.407483319761297</v>
      </c>
      <c r="L250" s="4" t="str">
        <f>IF(AND(E250&gt;G250, J250&gt;'P&amp;L'!$C$23, COUNTIF($L$4:L249, "Long")=COUNTIF($N$4:N249, "Close")), "Long", "")</f>
        <v/>
      </c>
      <c r="M250" s="4" t="str">
        <f>IF(L250="Long", E250*'P&amp;L'!$C$21,"")</f>
        <v/>
      </c>
      <c r="N250" s="4" t="str">
        <f>IF(AND(J250&gt;'P&amp;L'!$C$24, COUNTIF($L$4:L249, "Long") &gt; COUNTIF($N$4:N249, "Close")), "Close", "")</f>
        <v>Close</v>
      </c>
      <c r="O250" s="5" t="str">
        <f>IF(AND(E250&lt;G250, J250&lt;'P&amp;L'!$C$24, J249&gt;'P&amp;L'!$C$24, COUNTIF($O$4:O249, "Short")=COUNTIF($Q$4:Q249, "Close")), "Short", "")</f>
        <v/>
      </c>
      <c r="P250" s="5" t="str">
        <f>IF(O250="Short", E250*'P&amp;L'!$C$21, "")</f>
        <v/>
      </c>
      <c r="Q250" s="5" t="str">
        <f>IF(AND(J250&gt;'P&amp;L'!$C$23, COUNTIF($O$4:O249, "Short") &gt; COUNTIF($Q$4:Q249, "Close")), "Close", "")</f>
        <v/>
      </c>
      <c r="R250" s="6">
        <v>141787</v>
      </c>
    </row>
    <row r="251" spans="1:18" x14ac:dyDescent="0.35">
      <c r="A251" s="12">
        <v>42681</v>
      </c>
      <c r="B251" s="1">
        <v>774.5</v>
      </c>
      <c r="C251" s="1">
        <v>785.19</v>
      </c>
      <c r="D251" s="1">
        <v>772.55</v>
      </c>
      <c r="E251" s="1">
        <v>782.52</v>
      </c>
      <c r="F251" s="1">
        <v>1585070</v>
      </c>
      <c r="G251" s="6">
        <f t="shared" si="19"/>
        <v>763.95476190476199</v>
      </c>
      <c r="H251" s="6">
        <f t="shared" si="15"/>
        <v>795.63</v>
      </c>
      <c r="I251" s="6">
        <f t="shared" si="16"/>
        <v>727.54</v>
      </c>
      <c r="J251" s="6">
        <f t="shared" si="17"/>
        <v>80.746071376119829</v>
      </c>
      <c r="K251" s="6">
        <f t="shared" si="18"/>
        <v>87.977196356916238</v>
      </c>
      <c r="L251" s="4" t="str">
        <f>IF(AND(E251&gt;G251, J251&gt;'P&amp;L'!$C$23, COUNTIF($L$4:L250, "Long")=COUNTIF($N$4:N250, "Close")), "Long", "")</f>
        <v>Long</v>
      </c>
      <c r="M251" s="4">
        <f>IF(L251="Long", E251*'P&amp;L'!$C$21,"")</f>
        <v>39126</v>
      </c>
      <c r="N251" s="4" t="str">
        <f>IF(AND(J251&gt;'P&amp;L'!$C$24, COUNTIF($L$4:L250, "Long") &gt; COUNTIF($N$4:N250, "Close")), "Close", "")</f>
        <v/>
      </c>
      <c r="O251" s="5" t="str">
        <f>IF(AND(E251&lt;G251, J251&lt;'P&amp;L'!$C$24, J250&gt;'P&amp;L'!$C$24, COUNTIF($O$4:O250, "Short")=COUNTIF($Q$4:Q250, "Close")), "Short", "")</f>
        <v/>
      </c>
      <c r="P251" s="5" t="str">
        <f>IF(O251="Short", E251*'P&amp;L'!$C$21, "")</f>
        <v/>
      </c>
      <c r="Q251" s="5" t="str">
        <f>IF(AND(J251&gt;'P&amp;L'!$C$23, COUNTIF($O$4:O250, "Short") &gt; COUNTIF($Q$4:Q250, "Close")), "Close", "")</f>
        <v/>
      </c>
      <c r="R251" s="6">
        <v>102661</v>
      </c>
    </row>
    <row r="252" spans="1:18" x14ac:dyDescent="0.35">
      <c r="A252" s="12">
        <v>42678</v>
      </c>
      <c r="B252" s="1">
        <v>750.66</v>
      </c>
      <c r="C252" s="1">
        <v>770.36</v>
      </c>
      <c r="D252" s="1">
        <v>750.56</v>
      </c>
      <c r="E252" s="1">
        <v>762.02</v>
      </c>
      <c r="F252" s="1">
        <v>2134812</v>
      </c>
      <c r="G252" s="6">
        <f t="shared" si="19"/>
        <v>764.09333333333325</v>
      </c>
      <c r="H252" s="6">
        <f t="shared" si="15"/>
        <v>795.63</v>
      </c>
      <c r="I252" s="6">
        <f t="shared" si="16"/>
        <v>727.54</v>
      </c>
      <c r="J252" s="6">
        <f t="shared" si="17"/>
        <v>50.638860331913648</v>
      </c>
      <c r="K252" s="6">
        <f t="shared" si="18"/>
        <v>74.621824056395937</v>
      </c>
      <c r="L252" s="4" t="str">
        <f>IF(AND(E252&gt;G252, J252&gt;'P&amp;L'!$C$23, COUNTIF($L$4:L251, "Long")=COUNTIF($N$4:N251, "Close")), "Long", "")</f>
        <v/>
      </c>
      <c r="M252" s="4" t="str">
        <f>IF(L252="Long", E252*'P&amp;L'!$C$21,"")</f>
        <v/>
      </c>
      <c r="N252" s="4" t="str">
        <f>IF(AND(J252&gt;'P&amp;L'!$C$24, COUNTIF($L$4:L251, "Long") &gt; COUNTIF($N$4:N251, "Close")), "Close", "")</f>
        <v>Close</v>
      </c>
      <c r="O252" s="5" t="str">
        <f>IF(AND(E252&lt;G252, J252&lt;'P&amp;L'!$C$24, J251&gt;'P&amp;L'!$C$24, COUNTIF($O$4:O251, "Short")=COUNTIF($Q$4:Q251, "Close")), "Short", "")</f>
        <v/>
      </c>
      <c r="P252" s="5" t="str">
        <f>IF(O252="Short", E252*'P&amp;L'!$C$21, "")</f>
        <v/>
      </c>
      <c r="Q252" s="5" t="str">
        <f>IF(AND(J252&gt;'P&amp;L'!$C$23, COUNTIF($O$4:O251, "Short") &gt; COUNTIF($Q$4:Q251, "Close")), "Close", "")</f>
        <v/>
      </c>
      <c r="R252" s="6">
        <v>140762</v>
      </c>
    </row>
    <row r="253" spans="1:18" x14ac:dyDescent="0.35">
      <c r="A253" s="12">
        <v>42677</v>
      </c>
      <c r="B253" s="1">
        <v>767.25</v>
      </c>
      <c r="C253" s="1">
        <v>769.95</v>
      </c>
      <c r="D253" s="1">
        <v>759.03</v>
      </c>
      <c r="E253" s="1">
        <v>762.13</v>
      </c>
      <c r="F253" s="1">
        <v>1943175</v>
      </c>
      <c r="G253" s="6">
        <f t="shared" si="19"/>
        <v>764.07476190476177</v>
      </c>
      <c r="H253" s="6">
        <f t="shared" si="15"/>
        <v>795.63</v>
      </c>
      <c r="I253" s="6">
        <f t="shared" si="16"/>
        <v>727.54</v>
      </c>
      <c r="J253" s="6">
        <f t="shared" si="17"/>
        <v>50.80041122044355</v>
      </c>
      <c r="K253" s="6">
        <f t="shared" si="18"/>
        <v>60.728447642825678</v>
      </c>
      <c r="L253" s="4" t="str">
        <f>IF(AND(E253&gt;G253, J253&gt;'P&amp;L'!$C$23, COUNTIF($L$4:L252, "Long")=COUNTIF($N$4:N252, "Close")), "Long", "")</f>
        <v/>
      </c>
      <c r="M253" s="4" t="str">
        <f>IF(L253="Long", E253*'P&amp;L'!$C$21,"")</f>
        <v/>
      </c>
      <c r="N253" s="4" t="str">
        <f>IF(AND(J253&gt;'P&amp;L'!$C$24, COUNTIF($L$4:L252, "Long") &gt; COUNTIF($N$4:N252, "Close")), "Close", "")</f>
        <v/>
      </c>
      <c r="O253" s="5" t="str">
        <f>IF(AND(E253&lt;G253, J253&lt;'P&amp;L'!$C$24, J252&gt;'P&amp;L'!$C$24, COUNTIF($O$4:O252, "Short")=COUNTIF($Q$4:Q252, "Close")), "Short", "")</f>
        <v/>
      </c>
      <c r="P253" s="5" t="str">
        <f>IF(O253="Short", E253*'P&amp;L'!$C$21, "")</f>
        <v/>
      </c>
      <c r="Q253" s="5" t="str">
        <f>IF(AND(J253&gt;'P&amp;L'!$C$23, COUNTIF($O$4:O252, "Short") &gt; COUNTIF($Q$4:Q252, "Close")), "Close", "")</f>
        <v/>
      </c>
      <c r="R253" s="6">
        <v>140762</v>
      </c>
    </row>
    <row r="254" spans="1:18" x14ac:dyDescent="0.35">
      <c r="A254" s="12">
        <v>42676</v>
      </c>
      <c r="B254" s="1">
        <v>778.2</v>
      </c>
      <c r="C254" s="1">
        <v>781.65</v>
      </c>
      <c r="D254" s="1">
        <v>763.45</v>
      </c>
      <c r="E254" s="1">
        <v>768.7</v>
      </c>
      <c r="F254" s="1">
        <v>1918414</v>
      </c>
      <c r="G254" s="6">
        <f t="shared" si="19"/>
        <v>764.94142857142856</v>
      </c>
      <c r="H254" s="6">
        <f t="shared" si="15"/>
        <v>795.63</v>
      </c>
      <c r="I254" s="6">
        <f t="shared" si="16"/>
        <v>727.54</v>
      </c>
      <c r="J254" s="6">
        <f t="shared" si="17"/>
        <v>60.449405199001419</v>
      </c>
      <c r="K254" s="6">
        <f t="shared" si="18"/>
        <v>53.962892250452875</v>
      </c>
      <c r="L254" s="4" t="str">
        <f>IF(AND(E254&gt;G254, J254&gt;'P&amp;L'!$C$23, COUNTIF($L$4:L253, "Long")=COUNTIF($N$4:N253, "Close")), "Long", "")</f>
        <v>Long</v>
      </c>
      <c r="M254" s="4">
        <f>IF(L254="Long", E254*'P&amp;L'!$C$21,"")</f>
        <v>38435</v>
      </c>
      <c r="N254" s="4" t="str">
        <f>IF(AND(J254&gt;'P&amp;L'!$C$24, COUNTIF($L$4:L253, "Long") &gt; COUNTIF($N$4:N253, "Close")), "Close", "")</f>
        <v/>
      </c>
      <c r="O254" s="5" t="str">
        <f>IF(AND(E254&lt;G254, J254&lt;'P&amp;L'!$C$24, J253&gt;'P&amp;L'!$C$24, COUNTIF($O$4:O253, "Short")=COUNTIF($Q$4:Q253, "Close")), "Short", "")</f>
        <v/>
      </c>
      <c r="P254" s="5" t="str">
        <f>IF(O254="Short", E254*'P&amp;L'!$C$21, "")</f>
        <v/>
      </c>
      <c r="Q254" s="5" t="str">
        <f>IF(AND(J254&gt;'P&amp;L'!$C$23, COUNTIF($O$4:O253, "Short") &gt; COUNTIF($Q$4:Q253, "Close")), "Close", "")</f>
        <v/>
      </c>
      <c r="R254" s="6">
        <v>102327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1">
              <controlPr defaultSize="0" print="0" autoFill="0" autoPict="0" macro="[0]!ThisWorkBook.getquotes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8:C27"/>
  <sheetViews>
    <sheetView workbookViewId="0"/>
  </sheetViews>
  <sheetFormatPr defaultRowHeight="14.5" x14ac:dyDescent="0.35"/>
  <cols>
    <col min="2" max="2" width="30.6328125" customWidth="1"/>
    <col min="3" max="3" width="20.6328125" customWidth="1"/>
  </cols>
  <sheetData>
    <row r="8" spans="2:3" x14ac:dyDescent="0.35">
      <c r="B8" t="s">
        <v>0</v>
      </c>
    </row>
    <row r="10" spans="2:3" x14ac:dyDescent="0.35">
      <c r="B10" t="s">
        <v>1</v>
      </c>
      <c r="C10" s="13">
        <v>102327</v>
      </c>
    </row>
    <row r="11" spans="2:3" x14ac:dyDescent="0.35">
      <c r="B11" t="s">
        <v>2</v>
      </c>
      <c r="C11" s="13">
        <v>92327</v>
      </c>
    </row>
    <row r="13" spans="2:3" x14ac:dyDescent="0.35">
      <c r="B13" t="s">
        <v>3</v>
      </c>
      <c r="C13">
        <v>24</v>
      </c>
    </row>
    <row r="14" spans="2:3" x14ac:dyDescent="0.35">
      <c r="B14" t="s">
        <v>4</v>
      </c>
      <c r="C14">
        <v>28</v>
      </c>
    </row>
    <row r="15" spans="2:3" x14ac:dyDescent="0.35">
      <c r="B15" t="s">
        <v>5</v>
      </c>
      <c r="C15" s="14">
        <v>0.46150000000000002</v>
      </c>
    </row>
    <row r="18" spans="2:3" x14ac:dyDescent="0.35">
      <c r="B18" t="s">
        <v>6</v>
      </c>
    </row>
    <row r="20" spans="2:3" x14ac:dyDescent="0.35">
      <c r="B20" t="s">
        <v>7</v>
      </c>
      <c r="C20">
        <v>10000</v>
      </c>
    </row>
    <row r="21" spans="2:3" x14ac:dyDescent="0.35">
      <c r="B21" t="s">
        <v>8</v>
      </c>
      <c r="C21">
        <v>50</v>
      </c>
    </row>
    <row r="23" spans="2:3" x14ac:dyDescent="0.35">
      <c r="B23" t="s">
        <v>9</v>
      </c>
      <c r="C23">
        <v>20</v>
      </c>
    </row>
    <row r="24" spans="2:3" x14ac:dyDescent="0.35">
      <c r="B24" t="s">
        <v>10</v>
      </c>
      <c r="C24">
        <v>40</v>
      </c>
    </row>
    <row r="26" spans="2:3" x14ac:dyDescent="0.35">
      <c r="B26" t="s">
        <v>11</v>
      </c>
      <c r="C26">
        <v>1</v>
      </c>
    </row>
    <row r="27" spans="2:3" x14ac:dyDescent="0.35">
      <c r="B27" t="s">
        <v>12</v>
      </c>
      <c r="C27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2">
              <controlPr defaultSize="0" print="0" autoFill="0" autoPict="0" macro="[0]!ThisWorkbook.refresh">
                <anchor moveWithCells="1" siz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Trades</vt:lpstr>
      <vt:lpstr>P&amp;L</vt:lpstr>
      <vt:lpstr>Sheet1</vt:lpstr>
      <vt:lpstr>Trades!ExternalData_1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2017-11-01T05:32:49Z</dcterms:created>
  <dcterms:modified xsi:type="dcterms:W3CDTF">2017-11-01T05:34:37Z</dcterms:modified>
</cp:coreProperties>
</file>